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\OneDrive\Desktop\Exel practice files\"/>
    </mc:Choice>
  </mc:AlternateContent>
  <xr:revisionPtr revIDLastSave="0" documentId="8_{C78F10A5-B96D-4027-8A4A-0D7992510521}" xr6:coauthVersionLast="47" xr6:coauthVersionMax="47" xr10:uidLastSave="{00000000-0000-0000-0000-000000000000}"/>
  <bookViews>
    <workbookView xWindow="-108" yWindow="-108" windowWidth="23256" windowHeight="12456" activeTab="1" xr2:uid="{7E2EDBB0-732C-4F4C-9FA1-EB9943D68A70}"/>
  </bookViews>
  <sheets>
    <sheet name="EXERCISE 04" sheetId="1" r:id="rId1"/>
    <sheet name="Customer_Data" sheetId="7" r:id="rId2"/>
  </sheets>
  <definedNames>
    <definedName name="Customer_Name">Customer_Data!$A$3:$A$52</definedName>
    <definedName name="Price_Per_Item">Customer_Data!$C$3:$C$52</definedName>
    <definedName name="Quantity">Customer_Data!$B$3:$B$52</definedName>
    <definedName name="Sales_Tax">Customer_Data!$E$3:$E$52</definedName>
    <definedName name="Tax_rate">Customer_Data!$I$2</definedName>
    <definedName name="Total">Customer_Data!$D$3:$D$52</definedName>
    <definedName name="Total__inc_Tax">Customer_Data!$F$3:$F$52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7" l="1"/>
  <c r="I7" i="7"/>
  <c r="I6" i="7"/>
  <c r="I5" i="7"/>
  <c r="I4" i="7"/>
  <c r="E5" i="7"/>
  <c r="E4" i="7"/>
  <c r="E6" i="7"/>
  <c r="E7" i="7"/>
  <c r="E8" i="7"/>
  <c r="F8" i="7" s="1"/>
  <c r="E9" i="7"/>
  <c r="E10" i="7"/>
  <c r="F10" i="7" s="1"/>
  <c r="E11" i="7"/>
  <c r="F11" i="7" s="1"/>
  <c r="E12" i="7"/>
  <c r="E13" i="7"/>
  <c r="E14" i="7"/>
  <c r="E15" i="7"/>
  <c r="E16" i="7"/>
  <c r="F16" i="7" s="1"/>
  <c r="E17" i="7"/>
  <c r="E18" i="7"/>
  <c r="E19" i="7"/>
  <c r="F19" i="7" s="1"/>
  <c r="E20" i="7"/>
  <c r="E21" i="7"/>
  <c r="E22" i="7"/>
  <c r="E23" i="7"/>
  <c r="E24" i="7"/>
  <c r="E25" i="7"/>
  <c r="E26" i="7"/>
  <c r="E27" i="7"/>
  <c r="F27" i="7" s="1"/>
  <c r="E28" i="7"/>
  <c r="E29" i="7"/>
  <c r="E30" i="7"/>
  <c r="E31" i="7"/>
  <c r="E32" i="7"/>
  <c r="E33" i="7"/>
  <c r="E34" i="7"/>
  <c r="F34" i="7" s="1"/>
  <c r="E35" i="7"/>
  <c r="F35" i="7" s="1"/>
  <c r="E36" i="7"/>
  <c r="E37" i="7"/>
  <c r="E38" i="7"/>
  <c r="E39" i="7"/>
  <c r="E40" i="7"/>
  <c r="E41" i="7"/>
  <c r="E42" i="7"/>
  <c r="F42" i="7" s="1"/>
  <c r="E43" i="7"/>
  <c r="E44" i="7"/>
  <c r="E45" i="7"/>
  <c r="E46" i="7"/>
  <c r="E47" i="7"/>
  <c r="F47" i="7" s="1"/>
  <c r="E48" i="7"/>
  <c r="F48" i="7" s="1"/>
  <c r="E49" i="7"/>
  <c r="E50" i="7"/>
  <c r="F50" i="7" s="1"/>
  <c r="E51" i="7"/>
  <c r="F51" i="7" s="1"/>
  <c r="E52" i="7"/>
  <c r="E3" i="7"/>
  <c r="F3" i="7" s="1"/>
  <c r="F4" i="7"/>
  <c r="F5" i="7"/>
  <c r="F6" i="7"/>
  <c r="F13" i="7"/>
  <c r="F14" i="7"/>
  <c r="F24" i="7"/>
  <c r="F25" i="7"/>
  <c r="F26" i="7"/>
  <c r="F28" i="7"/>
  <c r="F29" i="7"/>
  <c r="F30" i="7"/>
  <c r="F36" i="7"/>
  <c r="F37" i="7"/>
  <c r="F38" i="7"/>
  <c r="F41" i="7"/>
  <c r="F46" i="7"/>
  <c r="F52" i="7"/>
  <c r="F7" i="7"/>
  <c r="F9" i="7"/>
  <c r="F21" i="7"/>
  <c r="F31" i="7"/>
  <c r="F39" i="7"/>
  <c r="F40" i="7"/>
  <c r="F43" i="7"/>
  <c r="F45" i="7"/>
  <c r="F49" i="7"/>
  <c r="F20" i="7"/>
  <c r="F22" i="7"/>
  <c r="F23" i="7"/>
  <c r="F32" i="7"/>
  <c r="F44" i="7"/>
  <c r="F12" i="7"/>
  <c r="F15" i="7"/>
  <c r="F17" i="7"/>
  <c r="F18" i="7"/>
  <c r="F3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3" i="7"/>
</calcChain>
</file>

<file path=xl/sharedStrings.xml><?xml version="1.0" encoding="utf-8"?>
<sst xmlns="http://schemas.openxmlformats.org/spreadsheetml/2006/main" count="65" uniqueCount="65">
  <si>
    <t>Customer Name</t>
  </si>
  <si>
    <t>Quantity</t>
  </si>
  <si>
    <t>Total Sales</t>
  </si>
  <si>
    <t>Average Quanity</t>
  </si>
  <si>
    <t>Minimum Price Per Item</t>
  </si>
  <si>
    <t>Maximum Price Per Item</t>
  </si>
  <si>
    <t>No. of Customers</t>
  </si>
  <si>
    <t>Sales Tax</t>
  </si>
  <si>
    <t>Total (inc Tax)</t>
  </si>
  <si>
    <t>Price Per Item ($)</t>
  </si>
  <si>
    <t>Total ($)</t>
  </si>
  <si>
    <t>Sales Tax ($)</t>
  </si>
  <si>
    <t>Tina Ray</t>
  </si>
  <si>
    <t>Abel Ballard</t>
  </si>
  <si>
    <t>Gretchen Williams</t>
  </si>
  <si>
    <t>Jordan Rodgers</t>
  </si>
  <si>
    <t>Tomas Barnett</t>
  </si>
  <si>
    <t>Henrietta Ramsey</t>
  </si>
  <si>
    <t>Patrick Baker</t>
  </si>
  <si>
    <t>Austin Farmer</t>
  </si>
  <si>
    <t>Jeremy Stevenson</t>
  </si>
  <si>
    <t>Frederick Yates</t>
  </si>
  <si>
    <t>Pete Burton</t>
  </si>
  <si>
    <t>Kelvin Baldwin</t>
  </si>
  <si>
    <t>Pat Jennings</t>
  </si>
  <si>
    <t>Shannon Haynes</t>
  </si>
  <si>
    <t>Miriam Gilbert</t>
  </si>
  <si>
    <t>Hugo Wheeler</t>
  </si>
  <si>
    <t>Terry Abbott</t>
  </si>
  <si>
    <t>Jorge Waters</t>
  </si>
  <si>
    <t>Ethel Thornton</t>
  </si>
  <si>
    <t>Mary Casey</t>
  </si>
  <si>
    <t>Jason Griffith</t>
  </si>
  <si>
    <t>Brandi Lamb</t>
  </si>
  <si>
    <t>Leonard Rhodes</t>
  </si>
  <si>
    <t>Devin Bass</t>
  </si>
  <si>
    <t>Raul Ruiz</t>
  </si>
  <si>
    <t>Alexandra Alvarez</t>
  </si>
  <si>
    <t>Gene Hale</t>
  </si>
  <si>
    <t>Tabitha Norman</t>
  </si>
  <si>
    <t>Gilbert Dixon</t>
  </si>
  <si>
    <t>Cathy Lindsey</t>
  </si>
  <si>
    <t>Sidney Nash</t>
  </si>
  <si>
    <t>Virginia Greene</t>
  </si>
  <si>
    <t>Irving Douglas</t>
  </si>
  <si>
    <t>Tammy Hansen</t>
  </si>
  <si>
    <t>Andre Parsons</t>
  </si>
  <si>
    <t>Darrell Pope</t>
  </si>
  <si>
    <t>Ramona White</t>
  </si>
  <si>
    <t>Jimmie Vargas</t>
  </si>
  <si>
    <t>Kristy Franklin</t>
  </si>
  <si>
    <t>Blake Pena</t>
  </si>
  <si>
    <t>Julius Moody</t>
  </si>
  <si>
    <t>Eileen Bates</t>
  </si>
  <si>
    <t>Rodolfo Roberson</t>
  </si>
  <si>
    <t>Jeffery Mack</t>
  </si>
  <si>
    <t>Otis Bennett</t>
  </si>
  <si>
    <t>Jeff Sanders</t>
  </si>
  <si>
    <t>Priscilla Hill</t>
  </si>
  <si>
    <t>Delia Goodwin</t>
  </si>
  <si>
    <t>Marc Jacobs</t>
  </si>
  <si>
    <t>Sonja Henderson</t>
  </si>
  <si>
    <t>NAMING RANGES</t>
  </si>
  <si>
    <t>USING NAMED RANGES IN FORMULAS</t>
  </si>
  <si>
    <t>EXERCISE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</si>
</sst>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theme="9" tint="-0.249977111117893"/>
      </top>
      <bottom style="thick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ck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ck">
        <color theme="9" tint="-0.249977111117893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/>
    <xf numFmtId="164" fontId="0" fillId="0" borderId="0" xfId="1" applyFont="1"/>
    <xf numFmtId="164" fontId="0" fillId="0" borderId="0" xfId="0" applyNumberFormat="1"/>
    <xf numFmtId="0" fontId="0" fillId="3" borderId="0" xfId="0" applyFill="1"/>
    <xf numFmtId="0" fontId="6" fillId="0" borderId="0" xfId="0" applyFont="1"/>
    <xf numFmtId="0" fontId="1" fillId="3" borderId="0" xfId="0" applyFont="1" applyFill="1"/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4" xfId="0" applyBorder="1"/>
    <xf numFmtId="0" fontId="0" fillId="4" borderId="4" xfId="0" applyFill="1" applyBorder="1"/>
    <xf numFmtId="10" fontId="0" fillId="4" borderId="1" xfId="0" applyNumberFormat="1" applyFill="1" applyBorder="1"/>
    <xf numFmtId="0" fontId="6" fillId="3" borderId="0" xfId="0" applyFont="1" applyFill="1"/>
    <xf numFmtId="0" fontId="7" fillId="3" borderId="0" xfId="0" applyFont="1" applyFill="1"/>
    <xf numFmtId="164" fontId="0" fillId="4" borderId="3" xfId="0" applyNumberFormat="1" applyFill="1" applyBorder="1"/>
    <xf numFmtId="1" fontId="0" fillId="4" borderId="2" xfId="0" applyNumberFormat="1" applyFill="1" applyBorder="1"/>
    <xf numFmtId="164" fontId="0" fillId="4" borderId="2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48920"/>
      <color rgb="FFFFB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114300</xdr:rowOff>
    </xdr:from>
    <xdr:to>
      <xdr:col>16</xdr:col>
      <xdr:colOff>182880</xdr:colOff>
      <xdr:row>17</xdr:row>
      <xdr:rowOff>129540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05547C-D6B0-46EC-B5C0-DCDD19CA5E6A}"/>
            </a:ext>
          </a:extLst>
        </xdr:cNvPr>
        <xdr:cNvSpPr txBox="1"/>
      </xdr:nvSpPr>
      <xdr:spPr>
        <a:xfrm>
          <a:off x="76200" y="723900"/>
          <a:ext cx="9860280" cy="26212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Name</a:t>
          </a:r>
          <a:r>
            <a:rPr lang="en-US" sz="1200" baseline="0">
              <a:solidFill>
                <a:sysClr val="windowText" lastClr="000000"/>
              </a:solidFill>
            </a:rPr>
            <a:t> the following data ranges: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A2:A52, "Customer_Name"</a:t>
          </a: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B2:B52, "Quantity"</a:t>
          </a: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C2:C52, "Price_Per_Item"</a:t>
          </a: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D2:D52, "Total"</a:t>
          </a: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E2:E52, "Sales_Tax"</a:t>
          </a: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F2:F52, "Total_Inc_Tax"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Name H2:I2, "Tax_Rate"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="1" baseline="0">
              <a:solidFill>
                <a:sysClr val="windowText" lastClr="000000"/>
              </a:solidFill>
            </a:rPr>
            <a:t>NOTE</a:t>
          </a:r>
          <a:r>
            <a:rPr lang="en-US" sz="1200" baseline="0">
              <a:solidFill>
                <a:sysClr val="windowText" lastClr="000000"/>
              </a:solidFill>
            </a:rPr>
            <a:t>: Try and use all of the different methods for creating named ranges.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60960</xdr:colOff>
      <xdr:row>22</xdr:row>
      <xdr:rowOff>15240</xdr:rowOff>
    </xdr:from>
    <xdr:to>
      <xdr:col>16</xdr:col>
      <xdr:colOff>167640</xdr:colOff>
      <xdr:row>27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FC62A0B-BE3F-4F58-806D-FD9C0B5B0CC9}"/>
            </a:ext>
          </a:extLst>
        </xdr:cNvPr>
        <xdr:cNvSpPr txBox="1"/>
      </xdr:nvSpPr>
      <xdr:spPr>
        <a:xfrm>
          <a:off x="60960" y="4160520"/>
          <a:ext cx="9860280" cy="106680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Replace</a:t>
          </a:r>
          <a:r>
            <a:rPr lang="en-US" sz="1200" baseline="0">
              <a:solidFill>
                <a:sysClr val="windowText" lastClr="000000"/>
              </a:solidFill>
            </a:rPr>
            <a:t> the reference to cell I2 in the </a:t>
          </a:r>
          <a:r>
            <a:rPr lang="en-US" sz="1200" b="1" baseline="0">
              <a:solidFill>
                <a:sysClr val="windowText" lastClr="000000"/>
              </a:solidFill>
            </a:rPr>
            <a:t>'Sales Tax</a:t>
          </a:r>
          <a:r>
            <a:rPr lang="en-US" sz="1200" baseline="0">
              <a:solidFill>
                <a:sysClr val="windowText" lastClr="000000"/>
              </a:solidFill>
            </a:rPr>
            <a:t>' formula in column E with the named range.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Re-calculate the formulas in cell range I4:I8, using the named ranges instead of cell references.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22860</xdr:colOff>
      <xdr:row>4</xdr:row>
      <xdr:rowOff>152400</xdr:rowOff>
    </xdr:from>
    <xdr:to>
      <xdr:col>11</xdr:col>
      <xdr:colOff>327660</xdr:colOff>
      <xdr:row>17</xdr:row>
      <xdr:rowOff>59323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B8124F4-3B94-4375-A451-D0AC3F90C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9260" y="944880"/>
          <a:ext cx="1524000" cy="2330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A54"/>
  <sheetViews>
    <sheetView showGridLines="0" workbookViewId="0">
      <selection activeCell="L3" sqref="L3"/>
    </sheetView>
  </sheetViews>
  <sheetFormatPr defaultRowHeight="14.4" x14ac:dyDescent="0.3"/>
  <sheetData>
    <row r="1" spans="1:1" s="1" customFormat="1" ht="18" x14ac:dyDescent="0.35">
      <c r="A1" s="1" t="s">
        <v>64</v>
      </c>
    </row>
    <row r="3" spans="1:1" s="5" customFormat="1" ht="15.6" x14ac:dyDescent="0.3">
      <c r="A3" s="5" t="s">
        <v>62</v>
      </c>
    </row>
    <row r="5" spans="1:1" s="4" customFormat="1" x14ac:dyDescent="0.3"/>
    <row r="6" spans="1:1" s="4" customFormat="1" x14ac:dyDescent="0.3"/>
    <row r="7" spans="1:1" s="4" customFormat="1" x14ac:dyDescent="0.3"/>
    <row r="8" spans="1:1" s="4" customFormat="1" x14ac:dyDescent="0.3"/>
    <row r="9" spans="1:1" s="4" customFormat="1" x14ac:dyDescent="0.3"/>
    <row r="10" spans="1:1" s="4" customFormat="1" x14ac:dyDescent="0.3"/>
    <row r="11" spans="1:1" s="6" customFormat="1" ht="16.8" customHeight="1" x14ac:dyDescent="0.3"/>
    <row r="12" spans="1:1" s="15" customFormat="1" ht="15.6" x14ac:dyDescent="0.3">
      <c r="A12" s="14"/>
    </row>
    <row r="13" spans="1:1" s="4" customFormat="1" x14ac:dyDescent="0.3"/>
    <row r="14" spans="1:1" s="4" customFormat="1" x14ac:dyDescent="0.3"/>
    <row r="15" spans="1:1" s="4" customFormat="1" x14ac:dyDescent="0.3"/>
    <row r="16" spans="1:1" s="4" customFormat="1" x14ac:dyDescent="0.3"/>
    <row r="17" spans="1:1" s="4" customFormat="1" x14ac:dyDescent="0.3"/>
    <row r="18" spans="1:1" s="4" customFormat="1" x14ac:dyDescent="0.3"/>
    <row r="21" spans="1:1" s="5" customFormat="1" ht="15.6" x14ac:dyDescent="0.3">
      <c r="A21" s="5" t="s">
        <v>63</v>
      </c>
    </row>
    <row r="23" spans="1:1" s="4" customFormat="1" x14ac:dyDescent="0.3"/>
    <row r="24" spans="1:1" s="4" customFormat="1" x14ac:dyDescent="0.3"/>
    <row r="25" spans="1:1" s="4" customFormat="1" x14ac:dyDescent="0.3"/>
    <row r="26" spans="1:1" s="4" customFormat="1" x14ac:dyDescent="0.3"/>
    <row r="27" spans="1:1" s="4" customFormat="1" x14ac:dyDescent="0.3"/>
    <row r="28" spans="1:1" s="4" customFormat="1" x14ac:dyDescent="0.3"/>
    <row r="33" customFormat="1" x14ac:dyDescent="0.3"/>
    <row r="34" customFormat="1" x14ac:dyDescent="0.3"/>
    <row r="35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A822-3456-4775-AA29-41B9749F670B}">
  <dimension ref="A1:I52"/>
  <sheetViews>
    <sheetView tabSelected="1" zoomScale="130" zoomScaleNormal="130" workbookViewId="0">
      <selection activeCell="I9" sqref="I9"/>
    </sheetView>
  </sheetViews>
  <sheetFormatPr defaultRowHeight="14.4" x14ac:dyDescent="0.3"/>
  <cols>
    <col min="1" max="1" width="17.77734375" customWidth="1"/>
    <col min="2" max="2" width="12.44140625" customWidth="1"/>
    <col min="3" max="3" width="15.88671875" customWidth="1"/>
    <col min="4" max="4" width="12.33203125" customWidth="1"/>
    <col min="5" max="5" width="13.5546875" customWidth="1"/>
    <col min="6" max="6" width="14.33203125" customWidth="1"/>
    <col min="7" max="7" width="14" customWidth="1"/>
    <col min="8" max="8" width="23.109375" customWidth="1"/>
    <col min="9" max="9" width="13.6640625" customWidth="1"/>
  </cols>
  <sheetData>
    <row r="1" spans="1:9" ht="15" thickBot="1" x14ac:dyDescent="0.35"/>
    <row r="2" spans="1:9" ht="15.6" thickTop="1" thickBot="1" x14ac:dyDescent="0.35">
      <c r="A2" s="7" t="s">
        <v>0</v>
      </c>
      <c r="B2" s="7" t="s">
        <v>1</v>
      </c>
      <c r="C2" s="7" t="s">
        <v>9</v>
      </c>
      <c r="D2" s="7" t="s">
        <v>10</v>
      </c>
      <c r="E2" s="7" t="s">
        <v>11</v>
      </c>
      <c r="F2" s="7" t="s">
        <v>8</v>
      </c>
      <c r="G2" s="8"/>
      <c r="H2" s="7" t="s">
        <v>7</v>
      </c>
      <c r="I2" s="13">
        <v>0.06</v>
      </c>
    </row>
    <row r="3" spans="1:9" ht="15.6" thickTop="1" thickBot="1" x14ac:dyDescent="0.35">
      <c r="A3" t="s">
        <v>12</v>
      </c>
      <c r="B3">
        <v>6</v>
      </c>
      <c r="C3" s="2">
        <v>14</v>
      </c>
      <c r="D3" s="3">
        <f>SUM(B3*C3)</f>
        <v>84</v>
      </c>
      <c r="E3" s="3">
        <f>SUM(D3*Tax_rate)</f>
        <v>5.04</v>
      </c>
      <c r="F3" s="3">
        <f>SUM(D3+E3)</f>
        <v>89.04</v>
      </c>
    </row>
    <row r="4" spans="1:9" ht="15" thickTop="1" x14ac:dyDescent="0.3">
      <c r="A4" t="s">
        <v>13</v>
      </c>
      <c r="B4">
        <v>5</v>
      </c>
      <c r="C4" s="2">
        <v>19</v>
      </c>
      <c r="D4" s="3">
        <f t="shared" ref="D4:D52" si="0">SUM(B4*C4)</f>
        <v>95</v>
      </c>
      <c r="E4" s="3">
        <f>SUM(D4*Tax_rate)</f>
        <v>5.7</v>
      </c>
      <c r="F4" s="3">
        <f t="shared" ref="F4:F52" si="1">SUM(D4+E4)</f>
        <v>100.7</v>
      </c>
      <c r="H4" s="10" t="s">
        <v>2</v>
      </c>
      <c r="I4" s="16">
        <f>SUM(Total)</f>
        <v>10105</v>
      </c>
    </row>
    <row r="5" spans="1:9" x14ac:dyDescent="0.3">
      <c r="A5" t="s">
        <v>14</v>
      </c>
      <c r="B5">
        <v>4</v>
      </c>
      <c r="C5" s="2">
        <v>16</v>
      </c>
      <c r="D5" s="3">
        <f t="shared" si="0"/>
        <v>64</v>
      </c>
      <c r="E5" s="3">
        <f>SUM(D5*Tax_rate)</f>
        <v>3.84</v>
      </c>
      <c r="F5" s="3">
        <f t="shared" si="1"/>
        <v>67.84</v>
      </c>
      <c r="H5" s="9" t="s">
        <v>3</v>
      </c>
      <c r="I5" s="17">
        <f>AVERAGE(Quantity)</f>
        <v>6.78</v>
      </c>
    </row>
    <row r="6" spans="1:9" x14ac:dyDescent="0.3">
      <c r="A6" t="s">
        <v>15</v>
      </c>
      <c r="B6">
        <v>5</v>
      </c>
      <c r="C6" s="2">
        <v>46</v>
      </c>
      <c r="D6" s="3">
        <f t="shared" si="0"/>
        <v>230</v>
      </c>
      <c r="E6" s="3">
        <f>SUM(D6*Tax_rate)</f>
        <v>13.799999999999999</v>
      </c>
      <c r="F6" s="3">
        <f t="shared" si="1"/>
        <v>243.8</v>
      </c>
      <c r="H6" s="9" t="s">
        <v>4</v>
      </c>
      <c r="I6" s="18">
        <f>MIN(Price_Per_Item)</f>
        <v>10</v>
      </c>
    </row>
    <row r="7" spans="1:9" x14ac:dyDescent="0.3">
      <c r="A7" t="s">
        <v>16</v>
      </c>
      <c r="B7">
        <v>5</v>
      </c>
      <c r="C7" s="2">
        <v>35</v>
      </c>
      <c r="D7" s="3">
        <f t="shared" si="0"/>
        <v>175</v>
      </c>
      <c r="E7" s="3">
        <f>SUM(D7*Tax_rate)</f>
        <v>10.5</v>
      </c>
      <c r="F7" s="3">
        <f t="shared" si="1"/>
        <v>185.5</v>
      </c>
      <c r="H7" s="9" t="s">
        <v>5</v>
      </c>
      <c r="I7" s="18">
        <f>MAX(Price_Per_Item)</f>
        <v>50</v>
      </c>
    </row>
    <row r="8" spans="1:9" ht="15" thickBot="1" x14ac:dyDescent="0.35">
      <c r="A8" t="s">
        <v>17</v>
      </c>
      <c r="B8">
        <v>3</v>
      </c>
      <c r="C8" s="2">
        <v>19</v>
      </c>
      <c r="D8" s="3">
        <f t="shared" si="0"/>
        <v>57</v>
      </c>
      <c r="E8" s="3">
        <f>SUM(D8*Tax_rate)</f>
        <v>3.42</v>
      </c>
      <c r="F8" s="3">
        <f t="shared" si="1"/>
        <v>60.42</v>
      </c>
      <c r="H8" s="11" t="s">
        <v>6</v>
      </c>
      <c r="I8" s="12">
        <f>COUNTA(Customer_Name)</f>
        <v>50</v>
      </c>
    </row>
    <row r="9" spans="1:9" ht="15" thickTop="1" x14ac:dyDescent="0.3">
      <c r="A9" t="s">
        <v>18</v>
      </c>
      <c r="B9">
        <v>8</v>
      </c>
      <c r="C9" s="2">
        <v>31</v>
      </c>
      <c r="D9" s="3">
        <f t="shared" si="0"/>
        <v>248</v>
      </c>
      <c r="E9" s="3">
        <f>SUM(D9*Tax_rate)</f>
        <v>14.879999999999999</v>
      </c>
      <c r="F9" s="3">
        <f t="shared" si="1"/>
        <v>262.88</v>
      </c>
    </row>
    <row r="10" spans="1:9" x14ac:dyDescent="0.3">
      <c r="A10" t="s">
        <v>19</v>
      </c>
      <c r="B10">
        <v>6</v>
      </c>
      <c r="C10" s="2">
        <v>27</v>
      </c>
      <c r="D10" s="3">
        <f t="shared" si="0"/>
        <v>162</v>
      </c>
      <c r="E10" s="3">
        <f>SUM(D10*Tax_rate)</f>
        <v>9.7199999999999989</v>
      </c>
      <c r="F10" s="3">
        <f t="shared" si="1"/>
        <v>171.72</v>
      </c>
    </row>
    <row r="11" spans="1:9" x14ac:dyDescent="0.3">
      <c r="A11" t="s">
        <v>20</v>
      </c>
      <c r="B11">
        <v>5</v>
      </c>
      <c r="C11" s="2">
        <v>32</v>
      </c>
      <c r="D11" s="3">
        <f t="shared" si="0"/>
        <v>160</v>
      </c>
      <c r="E11" s="3">
        <f>SUM(D11*Tax_rate)</f>
        <v>9.6</v>
      </c>
      <c r="F11" s="3">
        <f t="shared" si="1"/>
        <v>169.6</v>
      </c>
    </row>
    <row r="12" spans="1:9" x14ac:dyDescent="0.3">
      <c r="A12" t="s">
        <v>21</v>
      </c>
      <c r="B12">
        <v>9</v>
      </c>
      <c r="C12" s="2">
        <v>27</v>
      </c>
      <c r="D12" s="3">
        <f t="shared" si="0"/>
        <v>243</v>
      </c>
      <c r="E12" s="3">
        <f>SUM(D12*Tax_rate)</f>
        <v>14.58</v>
      </c>
      <c r="F12" s="3">
        <f t="shared" si="1"/>
        <v>257.58</v>
      </c>
    </row>
    <row r="13" spans="1:9" x14ac:dyDescent="0.3">
      <c r="A13" t="s">
        <v>22</v>
      </c>
      <c r="B13">
        <v>10</v>
      </c>
      <c r="C13" s="2">
        <v>30</v>
      </c>
      <c r="D13" s="3">
        <f t="shared" si="0"/>
        <v>300</v>
      </c>
      <c r="E13" s="3">
        <f>SUM(D13*Tax_rate)</f>
        <v>18</v>
      </c>
      <c r="F13" s="3">
        <f t="shared" si="1"/>
        <v>318</v>
      </c>
    </row>
    <row r="14" spans="1:9" x14ac:dyDescent="0.3">
      <c r="A14" t="s">
        <v>23</v>
      </c>
      <c r="B14">
        <v>7</v>
      </c>
      <c r="C14" s="2">
        <v>16</v>
      </c>
      <c r="D14" s="3">
        <f t="shared" si="0"/>
        <v>112</v>
      </c>
      <c r="E14" s="3">
        <f>SUM(D14*Tax_rate)</f>
        <v>6.72</v>
      </c>
      <c r="F14" s="3">
        <f t="shared" si="1"/>
        <v>118.72</v>
      </c>
    </row>
    <row r="15" spans="1:9" x14ac:dyDescent="0.3">
      <c r="A15" t="s">
        <v>24</v>
      </c>
      <c r="B15">
        <v>6</v>
      </c>
      <c r="C15" s="2">
        <v>25</v>
      </c>
      <c r="D15" s="3">
        <f t="shared" si="0"/>
        <v>150</v>
      </c>
      <c r="E15" s="3">
        <f>SUM(D15*Tax_rate)</f>
        <v>9</v>
      </c>
      <c r="F15" s="3">
        <f t="shared" si="1"/>
        <v>159</v>
      </c>
    </row>
    <row r="16" spans="1:9" x14ac:dyDescent="0.3">
      <c r="A16" t="s">
        <v>25</v>
      </c>
      <c r="B16">
        <v>3</v>
      </c>
      <c r="C16" s="2">
        <v>11</v>
      </c>
      <c r="D16" s="3">
        <f t="shared" si="0"/>
        <v>33</v>
      </c>
      <c r="E16" s="3">
        <f>SUM(D16*Tax_rate)</f>
        <v>1.98</v>
      </c>
      <c r="F16" s="3">
        <f t="shared" si="1"/>
        <v>34.979999999999997</v>
      </c>
    </row>
    <row r="17" spans="1:6" x14ac:dyDescent="0.3">
      <c r="A17" t="s">
        <v>26</v>
      </c>
      <c r="B17">
        <v>10</v>
      </c>
      <c r="C17" s="2">
        <v>27</v>
      </c>
      <c r="D17" s="3">
        <f t="shared" si="0"/>
        <v>270</v>
      </c>
      <c r="E17" s="3">
        <f>SUM(D17*Tax_rate)</f>
        <v>16.2</v>
      </c>
      <c r="F17" s="3">
        <f t="shared" si="1"/>
        <v>286.2</v>
      </c>
    </row>
    <row r="18" spans="1:6" x14ac:dyDescent="0.3">
      <c r="A18" t="s">
        <v>27</v>
      </c>
      <c r="B18">
        <v>8</v>
      </c>
      <c r="C18" s="2">
        <v>27</v>
      </c>
      <c r="D18" s="3">
        <f t="shared" si="0"/>
        <v>216</v>
      </c>
      <c r="E18" s="3">
        <f>SUM(D18*Tax_rate)</f>
        <v>12.959999999999999</v>
      </c>
      <c r="F18" s="3">
        <f t="shared" si="1"/>
        <v>228.96</v>
      </c>
    </row>
    <row r="19" spans="1:6" x14ac:dyDescent="0.3">
      <c r="A19" t="s">
        <v>28</v>
      </c>
      <c r="B19">
        <v>7</v>
      </c>
      <c r="C19" s="2">
        <v>44</v>
      </c>
      <c r="D19" s="3">
        <f t="shared" si="0"/>
        <v>308</v>
      </c>
      <c r="E19" s="3">
        <f>SUM(D19*Tax_rate)</f>
        <v>18.48</v>
      </c>
      <c r="F19" s="3">
        <f t="shared" si="1"/>
        <v>326.48</v>
      </c>
    </row>
    <row r="20" spans="1:6" x14ac:dyDescent="0.3">
      <c r="A20" t="s">
        <v>29</v>
      </c>
      <c r="B20">
        <v>10</v>
      </c>
      <c r="C20" s="2">
        <v>16</v>
      </c>
      <c r="D20" s="3">
        <f t="shared" si="0"/>
        <v>160</v>
      </c>
      <c r="E20" s="3">
        <f>SUM(D20*Tax_rate)</f>
        <v>9.6</v>
      </c>
      <c r="F20" s="3">
        <f t="shared" si="1"/>
        <v>169.6</v>
      </c>
    </row>
    <row r="21" spans="1:6" x14ac:dyDescent="0.3">
      <c r="A21" t="s">
        <v>30</v>
      </c>
      <c r="B21">
        <v>5</v>
      </c>
      <c r="C21" s="2">
        <v>36</v>
      </c>
      <c r="D21" s="3">
        <f t="shared" si="0"/>
        <v>180</v>
      </c>
      <c r="E21" s="3">
        <f>SUM(D21*Tax_rate)</f>
        <v>10.799999999999999</v>
      </c>
      <c r="F21" s="3">
        <f t="shared" si="1"/>
        <v>190.8</v>
      </c>
    </row>
    <row r="22" spans="1:6" x14ac:dyDescent="0.3">
      <c r="A22" t="s">
        <v>31</v>
      </c>
      <c r="B22">
        <v>6</v>
      </c>
      <c r="C22" s="2">
        <v>28</v>
      </c>
      <c r="D22" s="3">
        <f t="shared" si="0"/>
        <v>168</v>
      </c>
      <c r="E22" s="3">
        <f>SUM(D22*Tax_rate)</f>
        <v>10.08</v>
      </c>
      <c r="F22" s="3">
        <f t="shared" si="1"/>
        <v>178.08</v>
      </c>
    </row>
    <row r="23" spans="1:6" x14ac:dyDescent="0.3">
      <c r="A23" t="s">
        <v>32</v>
      </c>
      <c r="B23">
        <v>6</v>
      </c>
      <c r="C23" s="2">
        <v>13</v>
      </c>
      <c r="D23" s="3">
        <f t="shared" si="0"/>
        <v>78</v>
      </c>
      <c r="E23" s="3">
        <f>SUM(D23*Tax_rate)</f>
        <v>4.68</v>
      </c>
      <c r="F23" s="3">
        <f t="shared" si="1"/>
        <v>82.68</v>
      </c>
    </row>
    <row r="24" spans="1:6" x14ac:dyDescent="0.3">
      <c r="A24" t="s">
        <v>33</v>
      </c>
      <c r="B24">
        <v>9</v>
      </c>
      <c r="C24" s="2">
        <v>22</v>
      </c>
      <c r="D24" s="3">
        <f t="shared" si="0"/>
        <v>198</v>
      </c>
      <c r="E24" s="3">
        <f>SUM(D24*Tax_rate)</f>
        <v>11.879999999999999</v>
      </c>
      <c r="F24" s="3">
        <f t="shared" si="1"/>
        <v>209.88</v>
      </c>
    </row>
    <row r="25" spans="1:6" x14ac:dyDescent="0.3">
      <c r="A25" t="s">
        <v>34</v>
      </c>
      <c r="B25">
        <v>9</v>
      </c>
      <c r="C25" s="2">
        <v>44</v>
      </c>
      <c r="D25" s="3">
        <f t="shared" si="0"/>
        <v>396</v>
      </c>
      <c r="E25" s="3">
        <f>SUM(D25*Tax_rate)</f>
        <v>23.759999999999998</v>
      </c>
      <c r="F25" s="3">
        <f t="shared" si="1"/>
        <v>419.76</v>
      </c>
    </row>
    <row r="26" spans="1:6" x14ac:dyDescent="0.3">
      <c r="A26" t="s">
        <v>35</v>
      </c>
      <c r="B26">
        <v>8</v>
      </c>
      <c r="C26" s="2">
        <v>22</v>
      </c>
      <c r="D26" s="3">
        <f t="shared" si="0"/>
        <v>176</v>
      </c>
      <c r="E26" s="3">
        <f>SUM(D26*Tax_rate)</f>
        <v>10.559999999999999</v>
      </c>
      <c r="F26" s="3">
        <f t="shared" si="1"/>
        <v>186.56</v>
      </c>
    </row>
    <row r="27" spans="1:6" x14ac:dyDescent="0.3">
      <c r="A27" t="s">
        <v>36</v>
      </c>
      <c r="B27">
        <v>10</v>
      </c>
      <c r="C27" s="2">
        <v>19</v>
      </c>
      <c r="D27" s="3">
        <f t="shared" si="0"/>
        <v>190</v>
      </c>
      <c r="E27" s="3">
        <f>SUM(D27*Tax_rate)</f>
        <v>11.4</v>
      </c>
      <c r="F27" s="3">
        <f t="shared" si="1"/>
        <v>201.4</v>
      </c>
    </row>
    <row r="28" spans="1:6" x14ac:dyDescent="0.3">
      <c r="A28" t="s">
        <v>37</v>
      </c>
      <c r="B28">
        <v>10</v>
      </c>
      <c r="C28" s="2">
        <v>33</v>
      </c>
      <c r="D28" s="3">
        <f t="shared" si="0"/>
        <v>330</v>
      </c>
      <c r="E28" s="3">
        <f>SUM(D28*Tax_rate)</f>
        <v>19.8</v>
      </c>
      <c r="F28" s="3">
        <f t="shared" si="1"/>
        <v>349.8</v>
      </c>
    </row>
    <row r="29" spans="1:6" x14ac:dyDescent="0.3">
      <c r="A29" t="s">
        <v>38</v>
      </c>
      <c r="B29">
        <v>7</v>
      </c>
      <c r="C29" s="2">
        <v>41</v>
      </c>
      <c r="D29" s="3">
        <f t="shared" si="0"/>
        <v>287</v>
      </c>
      <c r="E29" s="3">
        <f>SUM(D29*Tax_rate)</f>
        <v>17.22</v>
      </c>
      <c r="F29" s="3">
        <f t="shared" si="1"/>
        <v>304.22000000000003</v>
      </c>
    </row>
    <row r="30" spans="1:6" x14ac:dyDescent="0.3">
      <c r="A30" t="s">
        <v>39</v>
      </c>
      <c r="B30">
        <v>8</v>
      </c>
      <c r="C30" s="2">
        <v>36</v>
      </c>
      <c r="D30" s="3">
        <f t="shared" si="0"/>
        <v>288</v>
      </c>
      <c r="E30" s="3">
        <f>SUM(D30*Tax_rate)</f>
        <v>17.28</v>
      </c>
      <c r="F30" s="3">
        <f t="shared" si="1"/>
        <v>305.27999999999997</v>
      </c>
    </row>
    <row r="31" spans="1:6" x14ac:dyDescent="0.3">
      <c r="A31" t="s">
        <v>40</v>
      </c>
      <c r="B31">
        <v>5</v>
      </c>
      <c r="C31" s="2">
        <v>17</v>
      </c>
      <c r="D31" s="3">
        <f t="shared" si="0"/>
        <v>85</v>
      </c>
      <c r="E31" s="3">
        <f>SUM(D31*Tax_rate)</f>
        <v>5.0999999999999996</v>
      </c>
      <c r="F31" s="3">
        <f t="shared" si="1"/>
        <v>90.1</v>
      </c>
    </row>
    <row r="32" spans="1:6" x14ac:dyDescent="0.3">
      <c r="A32" t="s">
        <v>41</v>
      </c>
      <c r="B32">
        <v>4</v>
      </c>
      <c r="C32" s="2">
        <v>34</v>
      </c>
      <c r="D32" s="3">
        <f t="shared" si="0"/>
        <v>136</v>
      </c>
      <c r="E32" s="3">
        <f>SUM(D32*Tax_rate)</f>
        <v>8.16</v>
      </c>
      <c r="F32" s="3">
        <f t="shared" si="1"/>
        <v>144.16</v>
      </c>
    </row>
    <row r="33" spans="1:6" x14ac:dyDescent="0.3">
      <c r="A33" t="s">
        <v>42</v>
      </c>
      <c r="B33">
        <v>5</v>
      </c>
      <c r="C33" s="2">
        <v>12</v>
      </c>
      <c r="D33" s="3">
        <f t="shared" si="0"/>
        <v>60</v>
      </c>
      <c r="E33" s="3">
        <f>SUM(D33*Tax_rate)</f>
        <v>3.5999999999999996</v>
      </c>
      <c r="F33" s="3">
        <f t="shared" si="1"/>
        <v>63.6</v>
      </c>
    </row>
    <row r="34" spans="1:6" x14ac:dyDescent="0.3">
      <c r="A34" t="s">
        <v>43</v>
      </c>
      <c r="B34">
        <v>6</v>
      </c>
      <c r="C34" s="2">
        <v>32</v>
      </c>
      <c r="D34" s="3">
        <f t="shared" si="0"/>
        <v>192</v>
      </c>
      <c r="E34" s="3">
        <f>SUM(D34*Tax_rate)</f>
        <v>11.52</v>
      </c>
      <c r="F34" s="3">
        <f t="shared" si="1"/>
        <v>203.52</v>
      </c>
    </row>
    <row r="35" spans="1:6" x14ac:dyDescent="0.3">
      <c r="A35" t="s">
        <v>44</v>
      </c>
      <c r="B35">
        <v>6</v>
      </c>
      <c r="C35" s="2">
        <v>39</v>
      </c>
      <c r="D35" s="3">
        <f t="shared" si="0"/>
        <v>234</v>
      </c>
      <c r="E35" s="3">
        <f>SUM(D35*Tax_rate)</f>
        <v>14.04</v>
      </c>
      <c r="F35" s="3">
        <f t="shared" si="1"/>
        <v>248.04</v>
      </c>
    </row>
    <row r="36" spans="1:6" x14ac:dyDescent="0.3">
      <c r="A36" t="s">
        <v>45</v>
      </c>
      <c r="B36">
        <v>6</v>
      </c>
      <c r="C36" s="2">
        <v>45</v>
      </c>
      <c r="D36" s="3">
        <f t="shared" si="0"/>
        <v>270</v>
      </c>
      <c r="E36" s="3">
        <f>SUM(D36*Tax_rate)</f>
        <v>16.2</v>
      </c>
      <c r="F36" s="3">
        <f t="shared" si="1"/>
        <v>286.2</v>
      </c>
    </row>
    <row r="37" spans="1:6" x14ac:dyDescent="0.3">
      <c r="A37" t="s">
        <v>46</v>
      </c>
      <c r="B37">
        <v>10</v>
      </c>
      <c r="C37" s="2">
        <v>44</v>
      </c>
      <c r="D37" s="3">
        <f t="shared" si="0"/>
        <v>440</v>
      </c>
      <c r="E37" s="3">
        <f>SUM(D37*Tax_rate)</f>
        <v>26.4</v>
      </c>
      <c r="F37" s="3">
        <f t="shared" si="1"/>
        <v>466.4</v>
      </c>
    </row>
    <row r="38" spans="1:6" x14ac:dyDescent="0.3">
      <c r="A38" t="s">
        <v>47</v>
      </c>
      <c r="B38">
        <v>6</v>
      </c>
      <c r="C38" s="2">
        <v>26</v>
      </c>
      <c r="D38" s="3">
        <f t="shared" si="0"/>
        <v>156</v>
      </c>
      <c r="E38" s="3">
        <f>SUM(D38*Tax_rate)</f>
        <v>9.36</v>
      </c>
      <c r="F38" s="3">
        <f t="shared" si="1"/>
        <v>165.36</v>
      </c>
    </row>
    <row r="39" spans="1:6" x14ac:dyDescent="0.3">
      <c r="A39" t="s">
        <v>48</v>
      </c>
      <c r="B39">
        <v>8</v>
      </c>
      <c r="C39" s="2">
        <v>46</v>
      </c>
      <c r="D39" s="3">
        <f t="shared" si="0"/>
        <v>368</v>
      </c>
      <c r="E39" s="3">
        <f>SUM(D39*Tax_rate)</f>
        <v>22.08</v>
      </c>
      <c r="F39" s="3">
        <f t="shared" si="1"/>
        <v>390.08</v>
      </c>
    </row>
    <row r="40" spans="1:6" x14ac:dyDescent="0.3">
      <c r="A40" t="s">
        <v>49</v>
      </c>
      <c r="B40">
        <v>5</v>
      </c>
      <c r="C40" s="2">
        <v>36</v>
      </c>
      <c r="D40" s="3">
        <f t="shared" si="0"/>
        <v>180</v>
      </c>
      <c r="E40" s="3">
        <f>SUM(D40*Tax_rate)</f>
        <v>10.799999999999999</v>
      </c>
      <c r="F40" s="3">
        <f t="shared" si="1"/>
        <v>190.8</v>
      </c>
    </row>
    <row r="41" spans="1:6" x14ac:dyDescent="0.3">
      <c r="A41" t="s">
        <v>50</v>
      </c>
      <c r="B41">
        <v>9</v>
      </c>
      <c r="C41" s="2">
        <v>10</v>
      </c>
      <c r="D41" s="3">
        <f t="shared" si="0"/>
        <v>90</v>
      </c>
      <c r="E41" s="3">
        <f>SUM(D41*Tax_rate)</f>
        <v>5.3999999999999995</v>
      </c>
      <c r="F41" s="3">
        <f t="shared" si="1"/>
        <v>95.4</v>
      </c>
    </row>
    <row r="42" spans="1:6" x14ac:dyDescent="0.3">
      <c r="A42" t="s">
        <v>51</v>
      </c>
      <c r="B42">
        <v>8</v>
      </c>
      <c r="C42" s="2">
        <v>21</v>
      </c>
      <c r="D42" s="3">
        <f t="shared" si="0"/>
        <v>168</v>
      </c>
      <c r="E42" s="3">
        <f>SUM(D42*Tax_rate)</f>
        <v>10.08</v>
      </c>
      <c r="F42" s="3">
        <f t="shared" si="1"/>
        <v>178.08</v>
      </c>
    </row>
    <row r="43" spans="1:6" x14ac:dyDescent="0.3">
      <c r="A43" t="s">
        <v>52</v>
      </c>
      <c r="B43">
        <v>7</v>
      </c>
      <c r="C43" s="2">
        <v>48</v>
      </c>
      <c r="D43" s="3">
        <f t="shared" si="0"/>
        <v>336</v>
      </c>
      <c r="E43" s="3">
        <f>SUM(D43*Tax_rate)</f>
        <v>20.16</v>
      </c>
      <c r="F43" s="3">
        <f t="shared" si="1"/>
        <v>356.16</v>
      </c>
    </row>
    <row r="44" spans="1:6" x14ac:dyDescent="0.3">
      <c r="A44" t="s">
        <v>53</v>
      </c>
      <c r="B44">
        <v>9</v>
      </c>
      <c r="C44" s="2">
        <v>44</v>
      </c>
      <c r="D44" s="3">
        <f t="shared" si="0"/>
        <v>396</v>
      </c>
      <c r="E44" s="3">
        <f>SUM(D44*Tax_rate)</f>
        <v>23.759999999999998</v>
      </c>
      <c r="F44" s="3">
        <f t="shared" si="1"/>
        <v>419.76</v>
      </c>
    </row>
    <row r="45" spans="1:6" x14ac:dyDescent="0.3">
      <c r="A45" t="s">
        <v>54</v>
      </c>
      <c r="B45">
        <v>7</v>
      </c>
      <c r="C45" s="2">
        <v>40</v>
      </c>
      <c r="D45" s="3">
        <f t="shared" si="0"/>
        <v>280</v>
      </c>
      <c r="E45" s="3">
        <f>SUM(D45*Tax_rate)</f>
        <v>16.8</v>
      </c>
      <c r="F45" s="3">
        <f t="shared" si="1"/>
        <v>296.8</v>
      </c>
    </row>
    <row r="46" spans="1:6" x14ac:dyDescent="0.3">
      <c r="A46" t="s">
        <v>55</v>
      </c>
      <c r="B46">
        <v>4</v>
      </c>
      <c r="C46" s="2">
        <v>50</v>
      </c>
      <c r="D46" s="3">
        <f t="shared" si="0"/>
        <v>200</v>
      </c>
      <c r="E46" s="3">
        <f>SUM(D46*Tax_rate)</f>
        <v>12</v>
      </c>
      <c r="F46" s="3">
        <f t="shared" si="1"/>
        <v>212</v>
      </c>
    </row>
    <row r="47" spans="1:6" x14ac:dyDescent="0.3">
      <c r="A47" t="s">
        <v>56</v>
      </c>
      <c r="B47">
        <v>8</v>
      </c>
      <c r="C47" s="2">
        <v>27</v>
      </c>
      <c r="D47" s="3">
        <f t="shared" si="0"/>
        <v>216</v>
      </c>
      <c r="E47" s="3">
        <f>SUM(D47*Tax_rate)</f>
        <v>12.959999999999999</v>
      </c>
      <c r="F47" s="3">
        <f t="shared" si="1"/>
        <v>228.96</v>
      </c>
    </row>
    <row r="48" spans="1:6" x14ac:dyDescent="0.3">
      <c r="A48" t="s">
        <v>57</v>
      </c>
      <c r="B48">
        <v>7</v>
      </c>
      <c r="C48" s="2">
        <v>13</v>
      </c>
      <c r="D48" s="3">
        <f t="shared" si="0"/>
        <v>91</v>
      </c>
      <c r="E48" s="3">
        <f>SUM(D48*Tax_rate)</f>
        <v>5.46</v>
      </c>
      <c r="F48" s="3">
        <f t="shared" si="1"/>
        <v>96.46</v>
      </c>
    </row>
    <row r="49" spans="1:6" x14ac:dyDescent="0.3">
      <c r="A49" t="s">
        <v>58</v>
      </c>
      <c r="B49">
        <v>7</v>
      </c>
      <c r="C49" s="2">
        <v>10</v>
      </c>
      <c r="D49" s="3">
        <f t="shared" si="0"/>
        <v>70</v>
      </c>
      <c r="E49" s="3">
        <f>SUM(D49*Tax_rate)</f>
        <v>4.2</v>
      </c>
      <c r="F49" s="3">
        <f t="shared" si="1"/>
        <v>74.2</v>
      </c>
    </row>
    <row r="50" spans="1:6" x14ac:dyDescent="0.3">
      <c r="A50" t="s">
        <v>59</v>
      </c>
      <c r="B50">
        <v>5</v>
      </c>
      <c r="C50" s="2">
        <v>40</v>
      </c>
      <c r="D50" s="3">
        <f t="shared" si="0"/>
        <v>200</v>
      </c>
      <c r="E50" s="3">
        <f>SUM(D50*Tax_rate)</f>
        <v>12</v>
      </c>
      <c r="F50" s="3">
        <f t="shared" si="1"/>
        <v>212</v>
      </c>
    </row>
    <row r="51" spans="1:6" x14ac:dyDescent="0.3">
      <c r="A51" t="s">
        <v>60</v>
      </c>
      <c r="B51">
        <v>5</v>
      </c>
      <c r="C51" s="2">
        <v>50</v>
      </c>
      <c r="D51" s="3">
        <f t="shared" si="0"/>
        <v>250</v>
      </c>
      <c r="E51" s="3">
        <f>SUM(D51*Tax_rate)</f>
        <v>15</v>
      </c>
      <c r="F51" s="3">
        <f t="shared" si="1"/>
        <v>265</v>
      </c>
    </row>
    <row r="52" spans="1:6" x14ac:dyDescent="0.3">
      <c r="A52" t="s">
        <v>61</v>
      </c>
      <c r="B52">
        <v>7</v>
      </c>
      <c r="C52" s="2">
        <v>47</v>
      </c>
      <c r="D52" s="3">
        <f t="shared" si="0"/>
        <v>329</v>
      </c>
      <c r="E52" s="3">
        <f>SUM(D52*Tax_rate)</f>
        <v>19.739999999999998</v>
      </c>
      <c r="F52" s="3">
        <f t="shared" si="1"/>
        <v>348.74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EXERCISE 04</vt:lpstr>
      <vt:lpstr>Customer_Data</vt:lpstr>
      <vt:lpstr>Customer_Name</vt:lpstr>
      <vt:lpstr>Price_Per_Item</vt:lpstr>
      <vt:lpstr>Quantity</vt:lpstr>
      <vt:lpstr>Sales_Tax</vt:lpstr>
      <vt:lpstr>Tax_rate</vt:lpstr>
      <vt:lpstr>Total</vt:lpstr>
      <vt:lpstr>Total__inc_Tax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Zibriyal Shaikh</cp:lastModifiedBy>
  <dcterms:created xsi:type="dcterms:W3CDTF">2021-01-16T16:13:56Z</dcterms:created>
  <dcterms:modified xsi:type="dcterms:W3CDTF">2026-03-15T06:41:36Z</dcterms:modified>
</cp:coreProperties>
</file>
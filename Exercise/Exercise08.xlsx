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mran\OneDrive\Desktop\Exel practice files\"/>
    </mc:Choice>
  </mc:AlternateContent>
  <xr:revisionPtr revIDLastSave="0" documentId="8_{24D20C09-5947-4F2B-AF3E-11E6E538AA40}" xr6:coauthVersionLast="47" xr6:coauthVersionMax="47" xr10:uidLastSave="{00000000-0000-0000-0000-000000000000}"/>
  <bookViews>
    <workbookView xWindow="-108" yWindow="-108" windowWidth="23256" windowHeight="12456" firstSheet="3" activeTab="3" xr2:uid="{7E2EDBB0-732C-4F4C-9FA1-EB9943D68A70}"/>
  </bookViews>
  <sheets>
    <sheet name="EXERCISE 08" sheetId="1" r:id="rId1"/>
    <sheet name="Fruit_Sales_Data" sheetId="10" r:id="rId2"/>
    <sheet name="Linking_Data" sheetId="12" r:id="rId3"/>
    <sheet name="Summary" sheetId="13" r:id="rId4"/>
    <sheet name="TechWorld_Sales" sheetId="14" r:id="rId5"/>
    <sheet name="MicroWorld_Sales" sheetId="16" r:id="rId6"/>
    <sheet name="Tech4U_Sales" sheetId="17" r:id="rId7"/>
    <sheet name="Joplins_Sales" sheetId="19" r:id="rId8"/>
    <sheet name="Total_Sales" sheetId="20" r:id="rId9"/>
  </sheets>
  <definedNames>
    <definedName name="_xlnm._FilterDatabase" localSheetId="1" hidden="1">Fruit_Sales_Data!$A$5:$F$43</definedName>
    <definedName name="_xlnm._FilterDatabase" localSheetId="2" hidden="1">Linking_Data!$B$5:$F$50</definedName>
    <definedName name="Customer_Name" localSheetId="1">Fruit_Sales_Data!$B$6:$B$53</definedName>
    <definedName name="Customer_Name" localSheetId="2">Linking_Data!$C$4:$C$60</definedName>
    <definedName name="Customer_Name">#REF!</definedName>
    <definedName name="Price_Per_Item" localSheetId="1">Fruit_Sales_Data!$D$6:$D$53</definedName>
    <definedName name="Price_Per_Item" localSheetId="2">Linking_Data!#REF!</definedName>
    <definedName name="Price_Per_Item">#REF!</definedName>
    <definedName name="Quantity" localSheetId="1">Fruit_Sales_Data!$C$6:$C$53</definedName>
    <definedName name="Quantity" localSheetId="2">Linking_Data!$D$4:$D$60</definedName>
    <definedName name="Quantity">#REF!</definedName>
    <definedName name="Sales_Tax" localSheetId="1">Fruit_Sales_Data!$F$6:$F$53</definedName>
    <definedName name="Sales_Tax" localSheetId="2">Linking_Data!$F$6:$F$60</definedName>
    <definedName name="Sales_Tax">#REF!</definedName>
    <definedName name="Total" localSheetId="1">Fruit_Sales_Data!$E$6:$E$53</definedName>
    <definedName name="Total" localSheetId="2">Linking_Data!$E$6:$E$60</definedName>
    <definedName name="Total">#REF!</definedName>
    <definedName name="Total__inc_Tax" localSheetId="1">Fruit_Sales_Data!#REF!</definedName>
    <definedName name="Total__inc_Tax" localSheetId="2">Linking_Data!#REF!</definedName>
    <definedName name="Total__inc_Tax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20" l="1"/>
  <c r="C5" i="20"/>
  <c r="D5" i="20"/>
  <c r="E5" i="20"/>
  <c r="B6" i="20"/>
  <c r="C6" i="20"/>
  <c r="D6" i="20"/>
  <c r="E6" i="20"/>
  <c r="B7" i="20"/>
  <c r="C7" i="20"/>
  <c r="D7" i="20"/>
  <c r="E7" i="20"/>
  <c r="C4" i="20"/>
  <c r="D4" i="20"/>
  <c r="E4" i="20"/>
  <c r="B4" i="20"/>
  <c r="B9" i="13"/>
  <c r="B8" i="13"/>
  <c r="B7" i="13"/>
  <c r="B6" i="13"/>
  <c r="B5" i="13"/>
  <c r="B4" i="13"/>
  <c r="D49" i="12"/>
  <c r="C49" i="12"/>
  <c r="D48" i="12"/>
  <c r="C48" i="12"/>
  <c r="D39" i="12"/>
  <c r="C39" i="12"/>
  <c r="D31" i="12"/>
  <c r="C31" i="12"/>
  <c r="D25" i="12"/>
  <c r="C25" i="12"/>
  <c r="D18" i="12"/>
  <c r="C18" i="12"/>
  <c r="D11" i="12"/>
  <c r="C11" i="12"/>
  <c r="G18" i="10"/>
  <c r="F18" i="10"/>
  <c r="E18" i="10"/>
  <c r="D18" i="10"/>
  <c r="C18" i="10"/>
  <c r="B18" i="10"/>
  <c r="I6" i="10"/>
  <c r="I7" i="10"/>
  <c r="I8" i="10"/>
  <c r="I9" i="10"/>
  <c r="I10" i="10"/>
  <c r="I11" i="10"/>
  <c r="D7" i="10"/>
  <c r="D8" i="10"/>
  <c r="D9" i="10"/>
  <c r="D10" i="10"/>
  <c r="D11" i="10"/>
  <c r="D6" i="10"/>
</calcChain>
</file>

<file path=xl/sharedStrings.xml><?xml version="1.0" encoding="utf-8"?>
<sst xmlns="http://schemas.openxmlformats.org/spreadsheetml/2006/main" count="152" uniqueCount="50">
  <si>
    <t>Revenue</t>
  </si>
  <si>
    <t>Profit</t>
  </si>
  <si>
    <t>Jan</t>
  </si>
  <si>
    <t>Feb</t>
  </si>
  <si>
    <t>Mar</t>
  </si>
  <si>
    <t>Apr</t>
  </si>
  <si>
    <t>Quantity</t>
  </si>
  <si>
    <t>Price Per Item</t>
  </si>
  <si>
    <t>Total</t>
  </si>
  <si>
    <t>Fruit</t>
  </si>
  <si>
    <t>Apple</t>
  </si>
  <si>
    <t>Orange</t>
  </si>
  <si>
    <t>Lemon</t>
  </si>
  <si>
    <t>Banana</t>
  </si>
  <si>
    <t>Plum</t>
  </si>
  <si>
    <t>Strawberry</t>
  </si>
  <si>
    <t>Fruit Sales Data</t>
  </si>
  <si>
    <t>Paste with Column Widths Preserved</t>
  </si>
  <si>
    <t>Paste Values Only</t>
  </si>
  <si>
    <t>Transpose Data</t>
  </si>
  <si>
    <t>PASTE OPTIONS</t>
  </si>
  <si>
    <t>LINKING DATA</t>
  </si>
  <si>
    <t>Company A</t>
  </si>
  <si>
    <t>Client</t>
  </si>
  <si>
    <t>Company B</t>
  </si>
  <si>
    <t>Company C</t>
  </si>
  <si>
    <t>Company D</t>
  </si>
  <si>
    <t>Company E</t>
  </si>
  <si>
    <t>Company F</t>
  </si>
  <si>
    <t>Total Profit</t>
  </si>
  <si>
    <t>Client List: Revenue vs Profit</t>
  </si>
  <si>
    <t>Summary Table</t>
  </si>
  <si>
    <t>EXERCISE 08</t>
  </si>
  <si>
    <t>North</t>
  </si>
  <si>
    <t>South</t>
  </si>
  <si>
    <t>East</t>
  </si>
  <si>
    <t>West</t>
  </si>
  <si>
    <t>TECHWORLD SALES (JAN - DEC 2019)</t>
  </si>
  <si>
    <t>TOTAL SALES (JAN - APR 2019)</t>
  </si>
  <si>
    <t>JOPLINS SALES (JAN - APR 2019)</t>
  </si>
  <si>
    <t>TECH4U SALES (JAN - APR 2019)</t>
  </si>
  <si>
    <t>MICROWORLD SALES (JAN - APR 2019)</t>
  </si>
  <si>
    <t>3D REFERENCING</t>
  </si>
  <si>
    <t>Company A Total</t>
  </si>
  <si>
    <t>Company B Total</t>
  </si>
  <si>
    <t>Company C Total</t>
  </si>
  <si>
    <t>Company D Total</t>
  </si>
  <si>
    <t>Company E Total</t>
  </si>
  <si>
    <t>Company F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</si>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</sst>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&quot;$&quot;#,##0.00"/>
    <numFmt numFmtId="166" formatCode="&quot;$&quot;#,##0"/>
  </numFmts>
  <fonts count="1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rgb="FFF4892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BE0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36">
    <xf numFmtId="0" fontId="0" fillId="0" borderId="0" xfId="0"/>
    <xf numFmtId="0" fontId="2" fillId="2" borderId="0" xfId="0" applyFont="1" applyFill="1"/>
    <xf numFmtId="164" fontId="0" fillId="0" borderId="0" xfId="1" applyFont="1"/>
    <xf numFmtId="164" fontId="0" fillId="0" borderId="0" xfId="0" applyNumberFormat="1"/>
    <xf numFmtId="0" fontId="0" fillId="4" borderId="0" xfId="0" applyFill="1"/>
    <xf numFmtId="0" fontId="7" fillId="0" borderId="0" xfId="0" applyFont="1"/>
    <xf numFmtId="0" fontId="1" fillId="4" borderId="0" xfId="0" applyFont="1" applyFill="1"/>
    <xf numFmtId="0" fontId="4" fillId="0" borderId="1" xfId="0" applyFont="1" applyBorder="1"/>
    <xf numFmtId="0" fontId="7" fillId="4" borderId="0" xfId="0" applyFont="1" applyFill="1"/>
    <xf numFmtId="0" fontId="8" fillId="4" borderId="0" xfId="0" applyFont="1" applyFill="1"/>
    <xf numFmtId="0" fontId="9" fillId="0" borderId="0" xfId="0" applyFont="1"/>
    <xf numFmtId="0" fontId="10" fillId="0" borderId="0" xfId="0" applyFont="1"/>
    <xf numFmtId="0" fontId="2" fillId="0" borderId="0" xfId="0" applyFont="1"/>
    <xf numFmtId="0" fontId="2" fillId="4" borderId="0" xfId="0" applyFont="1" applyFill="1"/>
    <xf numFmtId="165" fontId="0" fillId="0" borderId="0" xfId="0" applyNumberFormat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" xfId="0" applyBorder="1"/>
    <xf numFmtId="0" fontId="0" fillId="0" borderId="9" xfId="0" applyBorder="1"/>
    <xf numFmtId="0" fontId="11" fillId="0" borderId="0" xfId="0" applyFont="1"/>
    <xf numFmtId="0" fontId="5" fillId="5" borderId="0" xfId="0" applyFont="1" applyFill="1"/>
    <xf numFmtId="165" fontId="0" fillId="6" borderId="0" xfId="0" applyNumberFormat="1" applyFill="1"/>
    <xf numFmtId="0" fontId="5" fillId="7" borderId="0" xfId="0" applyFont="1" applyFill="1"/>
    <xf numFmtId="0" fontId="12" fillId="0" borderId="0" xfId="0" applyFont="1"/>
    <xf numFmtId="0" fontId="0" fillId="3" borderId="2" xfId="0" applyFill="1" applyBorder="1"/>
    <xf numFmtId="166" fontId="0" fillId="0" borderId="2" xfId="0" applyNumberFormat="1" applyBorder="1"/>
    <xf numFmtId="0" fontId="0" fillId="8" borderId="2" xfId="0" applyFill="1" applyBorder="1"/>
    <xf numFmtId="0" fontId="0" fillId="9" borderId="2" xfId="0" applyFill="1" applyBorder="1"/>
    <xf numFmtId="0" fontId="0" fillId="10" borderId="2" xfId="0" applyFill="1" applyBorder="1"/>
    <xf numFmtId="0" fontId="0" fillId="11" borderId="2" xfId="0" applyFill="1" applyBorder="1"/>
    <xf numFmtId="0" fontId="4" fillId="0" borderId="0" xfId="0" applyFont="1"/>
    <xf numFmtId="165" fontId="4" fillId="0" borderId="0" xfId="0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FFBE09"/>
      <color rgb="FFF4892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Summary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13</xdr:row>
      <xdr:rowOff>114300</xdr:rowOff>
    </xdr:from>
    <xdr:to>
      <xdr:col>16</xdr:col>
      <xdr:colOff>182880</xdr:colOff>
      <xdr:row>22</xdr:row>
      <xdr:rowOff>160020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605547C-D6B0-46EC-B5C0-DCDD19CA5E6A}"/>
            </a:ext>
          </a:extLst>
        </xdr:cNvPr>
        <xdr:cNvSpPr txBox="1"/>
      </xdr:nvSpPr>
      <xdr:spPr>
        <a:xfrm>
          <a:off x="76200" y="723900"/>
          <a:ext cx="9860280" cy="1737360"/>
        </a:xfrm>
        <a:prstGeom prst="rect">
          <a:avLst/>
        </a:prstGeom>
        <a:noFill/>
        <a:ln w="285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200">
            <a:solidFill>
              <a:sysClr val="windowText" lastClr="000000"/>
            </a:solidFill>
          </a:endParaRPr>
        </a:p>
        <a:p>
          <a:r>
            <a:rPr lang="en-US" sz="1200">
              <a:solidFill>
                <a:sysClr val="windowText" lastClr="000000"/>
              </a:solidFill>
            </a:rPr>
            <a:t>1. Add</a:t>
          </a:r>
          <a:r>
            <a:rPr lang="en-US" sz="1200" baseline="0">
              <a:solidFill>
                <a:sysClr val="windowText" lastClr="000000"/>
              </a:solidFill>
            </a:rPr>
            <a:t> subtotals to the </a:t>
          </a:r>
          <a:r>
            <a:rPr lang="en-US" sz="1200" b="1" baseline="0">
              <a:solidFill>
                <a:sysClr val="windowText" lastClr="000000"/>
              </a:solidFill>
            </a:rPr>
            <a:t>'Client List: Revenus vs Profit</a:t>
          </a:r>
          <a:r>
            <a:rPr lang="en-US" sz="1200" baseline="0">
              <a:solidFill>
                <a:sysClr val="windowText" lastClr="000000"/>
              </a:solidFill>
            </a:rPr>
            <a:t>' data on the </a:t>
          </a:r>
          <a:r>
            <a:rPr lang="en-US" sz="1200" b="1" baseline="0">
              <a:solidFill>
                <a:sysClr val="windowText" lastClr="000000"/>
              </a:solidFill>
            </a:rPr>
            <a:t>'Linking_Data</a:t>
          </a:r>
          <a:r>
            <a:rPr lang="en-US" sz="1200" baseline="0">
              <a:solidFill>
                <a:sysClr val="windowText" lastClr="000000"/>
              </a:solidFill>
            </a:rPr>
            <a:t>' worksheet.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2. On the </a:t>
          </a:r>
          <a:r>
            <a:rPr lang="en-US" sz="1200" b="1" baseline="0">
              <a:solidFill>
                <a:sysClr val="windowText" lastClr="000000"/>
              </a:solidFill>
            </a:rPr>
            <a:t>'Summary</a:t>
          </a:r>
          <a:r>
            <a:rPr lang="en-US" sz="1200" baseline="0">
              <a:solidFill>
                <a:sysClr val="windowText" lastClr="000000"/>
              </a:solidFill>
            </a:rPr>
            <a:t>' worksheet, link to the total profit for each client.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3. Create a button on the </a:t>
          </a:r>
          <a:r>
            <a:rPr lang="en-US" sz="1200" b="1" baseline="0">
              <a:solidFill>
                <a:sysClr val="windowText" lastClr="000000"/>
              </a:solidFill>
            </a:rPr>
            <a:t>'Linking_Data</a:t>
          </a:r>
          <a:r>
            <a:rPr lang="en-US" sz="1200" baseline="0">
              <a:solidFill>
                <a:sysClr val="windowText" lastClr="000000"/>
              </a:solidFill>
            </a:rPr>
            <a:t>' worksheet that hyperlinks to the </a:t>
          </a:r>
          <a:r>
            <a:rPr lang="en-US" sz="1200" b="1" baseline="0">
              <a:solidFill>
                <a:sysClr val="windowText" lastClr="000000"/>
              </a:solidFill>
            </a:rPr>
            <a:t>'Summary</a:t>
          </a:r>
          <a:r>
            <a:rPr lang="en-US" sz="1200" baseline="0">
              <a:solidFill>
                <a:sysClr val="windowText" lastClr="000000"/>
              </a:solidFill>
            </a:rPr>
            <a:t>' worksheet.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 baseline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68580</xdr:colOff>
      <xdr:row>3</xdr:row>
      <xdr:rowOff>205740</xdr:rowOff>
    </xdr:from>
    <xdr:to>
      <xdr:col>14</xdr:col>
      <xdr:colOff>304800</xdr:colOff>
      <xdr:row>12</xdr:row>
      <xdr:rowOff>15240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D772E928-B949-4BA1-A50D-C6B77E724F1F}"/>
            </a:ext>
          </a:extLst>
        </xdr:cNvPr>
        <xdr:cNvSpPr txBox="1"/>
      </xdr:nvSpPr>
      <xdr:spPr>
        <a:xfrm>
          <a:off x="68580" y="891540"/>
          <a:ext cx="8770620" cy="1821180"/>
        </a:xfrm>
        <a:prstGeom prst="rect">
          <a:avLst/>
        </a:prstGeom>
        <a:noFill/>
        <a:ln w="285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200">
            <a:solidFill>
              <a:sysClr val="windowText" lastClr="000000"/>
            </a:solidFill>
          </a:endParaRPr>
        </a:p>
        <a:p>
          <a:r>
            <a:rPr lang="en-US" sz="1200">
              <a:solidFill>
                <a:sysClr val="windowText" lastClr="000000"/>
              </a:solidFill>
            </a:rPr>
            <a:t>1. Select</a:t>
          </a:r>
          <a:r>
            <a:rPr lang="en-US" sz="1200" baseline="0">
              <a:solidFill>
                <a:sysClr val="windowText" lastClr="000000"/>
              </a:solidFill>
            </a:rPr>
            <a:t> the data in the table on the </a:t>
          </a:r>
          <a:r>
            <a:rPr lang="en-US" sz="1200" b="1" baseline="0">
              <a:solidFill>
                <a:sysClr val="windowText" lastClr="000000"/>
              </a:solidFill>
            </a:rPr>
            <a:t>'Fruit_Sales_Data</a:t>
          </a:r>
          <a:r>
            <a:rPr lang="en-US" sz="1200" baseline="0">
              <a:solidFill>
                <a:sysClr val="windowText" lastClr="000000"/>
              </a:solidFill>
            </a:rPr>
            <a:t>' worksheet.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2. Copy the data and paste it into the empty table so that the original column widths are preserved.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3. Copy the data again and paste the values only into the empty table.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4. Copy the data again and paste it so it runs horizontally across the page with the  headings in column A. </a:t>
          </a:r>
        </a:p>
        <a:p>
          <a:endParaRPr lang="en-US" sz="1200" baseline="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11</xdr:col>
      <xdr:colOff>403861</xdr:colOff>
      <xdr:row>5</xdr:row>
      <xdr:rowOff>184853</xdr:rowOff>
    </xdr:from>
    <xdr:to>
      <xdr:col>21</xdr:col>
      <xdr:colOff>106681</xdr:colOff>
      <xdr:row>9</xdr:row>
      <xdr:rowOff>28429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60C96B16-41FA-43A8-A58B-6B376D11D3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09461" y="1327853"/>
          <a:ext cx="5798820" cy="757976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11</xdr:col>
      <xdr:colOff>396241</xdr:colOff>
      <xdr:row>13</xdr:row>
      <xdr:rowOff>43001</xdr:rowOff>
    </xdr:from>
    <xdr:to>
      <xdr:col>20</xdr:col>
      <xdr:colOff>15241</xdr:colOff>
      <xdr:row>23</xdr:row>
      <xdr:rowOff>125285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5BC54504-DFF0-4610-8DFF-60584CC29A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01841" y="2938601"/>
          <a:ext cx="5105400" cy="196442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11</xdr:col>
      <xdr:colOff>388621</xdr:colOff>
      <xdr:row>25</xdr:row>
      <xdr:rowOff>55200</xdr:rowOff>
    </xdr:from>
    <xdr:to>
      <xdr:col>16</xdr:col>
      <xdr:colOff>457201</xdr:colOff>
      <xdr:row>31</xdr:row>
      <xdr:rowOff>159777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6A71AB07-1B00-4CDB-A205-B0F82DA6A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94221" y="5213940"/>
          <a:ext cx="3116580" cy="120185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0</xdr:col>
      <xdr:colOff>53340</xdr:colOff>
      <xdr:row>25</xdr:row>
      <xdr:rowOff>144780</xdr:rowOff>
    </xdr:from>
    <xdr:to>
      <xdr:col>9</xdr:col>
      <xdr:colOff>152400</xdr:colOff>
      <xdr:row>28</xdr:row>
      <xdr:rowOff>106680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76D8ACBE-3F91-48FF-9400-D9D63D324220}"/>
            </a:ext>
          </a:extLst>
        </xdr:cNvPr>
        <xdr:cNvSpPr txBox="1"/>
      </xdr:nvSpPr>
      <xdr:spPr>
        <a:xfrm>
          <a:off x="53340" y="5303520"/>
          <a:ext cx="5585460" cy="510540"/>
        </a:xfrm>
        <a:prstGeom prst="rect">
          <a:avLst/>
        </a:prstGeom>
        <a:noFill/>
        <a:ln w="285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200">
            <a:solidFill>
              <a:sysClr val="windowText" lastClr="000000"/>
            </a:solidFill>
          </a:endParaRPr>
        </a:p>
        <a:p>
          <a:r>
            <a:rPr lang="en-US" sz="1200">
              <a:solidFill>
                <a:sysClr val="windowText" lastClr="000000"/>
              </a:solidFill>
            </a:rPr>
            <a:t>1. Use</a:t>
          </a:r>
          <a:r>
            <a:rPr lang="en-US" sz="1200" baseline="0">
              <a:solidFill>
                <a:sysClr val="windowText" lastClr="000000"/>
              </a:solidFill>
            </a:rPr>
            <a:t> 3D Referencing to complete the summary table on the </a:t>
          </a:r>
          <a:r>
            <a:rPr lang="en-US" sz="1200" b="1" baseline="0">
              <a:solidFill>
                <a:sysClr val="windowText" lastClr="000000"/>
              </a:solidFill>
            </a:rPr>
            <a:t>'Total_Sales'</a:t>
          </a:r>
          <a:r>
            <a:rPr lang="en-US" sz="1200" baseline="0">
              <a:solidFill>
                <a:sysClr val="windowText" lastClr="000000"/>
              </a:solidFill>
            </a:rPr>
            <a:t> worksheet.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 baseline="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64478</xdr:colOff>
      <xdr:row>4</xdr:row>
      <xdr:rowOff>128954</xdr:rowOff>
    </xdr:from>
    <xdr:to>
      <xdr:col>7</xdr:col>
      <xdr:colOff>767862</xdr:colOff>
      <xdr:row>6</xdr:row>
      <xdr:rowOff>146539</xdr:rowOff>
    </xdr:to>
    <xdr:sp macro="" textlink="">
      <xdr:nvSpPr>
        <xdr:cNvPr id="2" name="Flowchart: Alternate Process 1">
          <a:hlinkClick xmlns:r="http://schemas.openxmlformats.org/officeDocument/2006/relationships" r:id="rId1" tooltip="click to jump to summary"/>
          <a:extLst>
            <a:ext uri="{FF2B5EF4-FFF2-40B4-BE49-F238E27FC236}">
              <a16:creationId xmlns:a16="http://schemas.microsoft.com/office/drawing/2014/main" id="{C129755B-0FD5-EA54-C578-1D41D8EF0E5D}"/>
            </a:ext>
          </a:extLst>
        </xdr:cNvPr>
        <xdr:cNvSpPr/>
      </xdr:nvSpPr>
      <xdr:spPr>
        <a:xfrm>
          <a:off x="6183924" y="879231"/>
          <a:ext cx="1647092" cy="381000"/>
        </a:xfrm>
        <a:prstGeom prst="flowChartAlternate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/>
            <a:t>Jump to summary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4763D-B2BF-472A-B5E8-DC0A46722069}">
  <dimension ref="A1:A35"/>
  <sheetViews>
    <sheetView showGridLines="0" topLeftCell="A16" workbookViewId="0">
      <selection activeCell="I3" sqref="I3"/>
    </sheetView>
  </sheetViews>
  <sheetFormatPr defaultRowHeight="14.4" x14ac:dyDescent="0.3"/>
  <sheetData>
    <row r="1" spans="1:1" s="1" customFormat="1" ht="18" x14ac:dyDescent="0.35">
      <c r="A1" s="1" t="s">
        <v>32</v>
      </c>
    </row>
    <row r="2" spans="1:1" s="12" customFormat="1" ht="18" x14ac:dyDescent="0.35"/>
    <row r="3" spans="1:1" s="12" customFormat="1" ht="18" x14ac:dyDescent="0.35">
      <c r="A3" s="5" t="s">
        <v>20</v>
      </c>
    </row>
    <row r="4" spans="1:1" s="12" customFormat="1" ht="18" x14ac:dyDescent="0.35"/>
    <row r="5" spans="1:1" s="13" customFormat="1" ht="18" x14ac:dyDescent="0.35"/>
    <row r="6" spans="1:1" s="13" customFormat="1" ht="18" x14ac:dyDescent="0.35"/>
    <row r="7" spans="1:1" s="13" customFormat="1" ht="18" x14ac:dyDescent="0.35"/>
    <row r="8" spans="1:1" s="13" customFormat="1" ht="18" x14ac:dyDescent="0.35"/>
    <row r="9" spans="1:1" s="13" customFormat="1" ht="18" x14ac:dyDescent="0.35"/>
    <row r="10" spans="1:1" s="13" customFormat="1" ht="18" x14ac:dyDescent="0.35"/>
    <row r="11" spans="1:1" s="13" customFormat="1" ht="18" x14ac:dyDescent="0.35"/>
    <row r="13" spans="1:1" s="5" customFormat="1" ht="15.6" x14ac:dyDescent="0.3">
      <c r="A13" s="5" t="s">
        <v>21</v>
      </c>
    </row>
    <row r="15" spans="1:1" s="4" customFormat="1" x14ac:dyDescent="0.3"/>
    <row r="16" spans="1:1" s="4" customFormat="1" x14ac:dyDescent="0.3"/>
    <row r="17" spans="1:1" s="4" customFormat="1" x14ac:dyDescent="0.3"/>
    <row r="18" spans="1:1" s="4" customFormat="1" x14ac:dyDescent="0.3"/>
    <row r="19" spans="1:1" s="4" customFormat="1" ht="15" customHeight="1" x14ac:dyDescent="0.3"/>
    <row r="20" spans="1:1" s="4" customFormat="1" x14ac:dyDescent="0.3"/>
    <row r="21" spans="1:1" s="6" customFormat="1" ht="16.8" customHeight="1" x14ac:dyDescent="0.3"/>
    <row r="22" spans="1:1" s="9" customFormat="1" ht="15.6" x14ac:dyDescent="0.3">
      <c r="A22" s="8"/>
    </row>
    <row r="23" spans="1:1" s="4" customFormat="1" x14ac:dyDescent="0.3"/>
    <row r="25" spans="1:1" ht="15.6" x14ac:dyDescent="0.3">
      <c r="A25" s="5" t="s">
        <v>42</v>
      </c>
    </row>
    <row r="27" spans="1:1" s="4" customFormat="1" x14ac:dyDescent="0.3"/>
    <row r="28" spans="1:1" s="4" customFormat="1" x14ac:dyDescent="0.3"/>
    <row r="29" spans="1:1" s="4" customFormat="1" x14ac:dyDescent="0.3"/>
    <row r="30" spans="1:1" s="4" customFormat="1" x14ac:dyDescent="0.3"/>
    <row r="31" spans="1:1" s="4" customFormat="1" x14ac:dyDescent="0.3"/>
    <row r="33" customFormat="1" x14ac:dyDescent="0.3"/>
    <row r="34" customFormat="1" x14ac:dyDescent="0.3"/>
    <row r="35" customFormat="1" x14ac:dyDescent="0.3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61885-4A20-4818-B0D3-91270A450BE6}">
  <dimension ref="A1:N53"/>
  <sheetViews>
    <sheetView topLeftCell="A4" zoomScale="130" zoomScaleNormal="130" workbookViewId="0">
      <selection activeCell="A15" sqref="A15:G18"/>
    </sheetView>
  </sheetViews>
  <sheetFormatPr defaultRowHeight="14.4" x14ac:dyDescent="0.3"/>
  <cols>
    <col min="1" max="1" width="10" bestFit="1" customWidth="1"/>
    <col min="2" max="2" width="8.21875" bestFit="1" customWidth="1"/>
    <col min="3" max="3" width="12.33203125" bestFit="1" customWidth="1"/>
    <col min="4" max="4" width="7.5546875" bestFit="1" customWidth="1"/>
    <col min="5" max="5" width="10.6640625" customWidth="1"/>
    <col min="6" max="6" width="10" bestFit="1" customWidth="1"/>
    <col min="7" max="7" width="8.21875" bestFit="1" customWidth="1"/>
    <col min="8" max="8" width="12.33203125" bestFit="1" customWidth="1"/>
    <col min="9" max="9" width="7.5546875" bestFit="1" customWidth="1"/>
  </cols>
  <sheetData>
    <row r="1" spans="1:14" s="10" customFormat="1" ht="16.2" customHeight="1" x14ac:dyDescent="0.4">
      <c r="A1" s="11"/>
    </row>
    <row r="3" spans="1:14" x14ac:dyDescent="0.3">
      <c r="A3" s="23" t="s">
        <v>16</v>
      </c>
      <c r="F3" s="23" t="s">
        <v>17</v>
      </c>
      <c r="K3" s="23" t="s">
        <v>18</v>
      </c>
    </row>
    <row r="5" spans="1:14" x14ac:dyDescent="0.3">
      <c r="A5" s="24" t="s">
        <v>9</v>
      </c>
      <c r="B5" s="24" t="s">
        <v>6</v>
      </c>
      <c r="C5" s="24" t="s">
        <v>7</v>
      </c>
      <c r="D5" s="24" t="s">
        <v>8</v>
      </c>
      <c r="F5" s="24" t="s">
        <v>9</v>
      </c>
      <c r="G5" s="24" t="s">
        <v>6</v>
      </c>
      <c r="H5" s="24" t="s">
        <v>7</v>
      </c>
      <c r="I5" s="24" t="s">
        <v>8</v>
      </c>
      <c r="K5" s="15" t="s">
        <v>9</v>
      </c>
      <c r="L5" s="16" t="s">
        <v>6</v>
      </c>
      <c r="M5" s="16" t="s">
        <v>7</v>
      </c>
      <c r="N5" s="17" t="s">
        <v>8</v>
      </c>
    </row>
    <row r="6" spans="1:14" x14ac:dyDescent="0.3">
      <c r="A6" t="s">
        <v>10</v>
      </c>
      <c r="B6">
        <v>15</v>
      </c>
      <c r="C6" s="14">
        <v>2</v>
      </c>
      <c r="D6" s="25">
        <f>SUM(B6*C6)</f>
        <v>30</v>
      </c>
      <c r="F6" t="s">
        <v>10</v>
      </c>
      <c r="G6">
        <v>15</v>
      </c>
      <c r="H6" s="14">
        <v>2</v>
      </c>
      <c r="I6" s="25">
        <f>SUM(G6*H6)</f>
        <v>30</v>
      </c>
      <c r="K6" s="18" t="s">
        <v>10</v>
      </c>
      <c r="L6">
        <v>15</v>
      </c>
      <c r="M6">
        <v>2</v>
      </c>
      <c r="N6" s="19">
        <v>30</v>
      </c>
    </row>
    <row r="7" spans="1:14" x14ac:dyDescent="0.3">
      <c r="A7" t="s">
        <v>11</v>
      </c>
      <c r="B7">
        <v>23</v>
      </c>
      <c r="C7" s="14">
        <v>1.4</v>
      </c>
      <c r="D7" s="25">
        <f t="shared" ref="D7:D11" si="0">SUM(B7*C7)</f>
        <v>32.199999999999996</v>
      </c>
      <c r="F7" t="s">
        <v>11</v>
      </c>
      <c r="G7">
        <v>23</v>
      </c>
      <c r="H7" s="14">
        <v>1.4</v>
      </c>
      <c r="I7" s="25">
        <f t="shared" ref="I7:I11" si="1">SUM(G7*H7)</f>
        <v>32.199999999999996</v>
      </c>
      <c r="K7" s="18" t="s">
        <v>11</v>
      </c>
      <c r="L7">
        <v>23</v>
      </c>
      <c r="M7">
        <v>1.4</v>
      </c>
      <c r="N7" s="19">
        <v>32.199999999999996</v>
      </c>
    </row>
    <row r="8" spans="1:14" x14ac:dyDescent="0.3">
      <c r="A8" t="s">
        <v>12</v>
      </c>
      <c r="B8">
        <v>45</v>
      </c>
      <c r="C8" s="14">
        <v>1.5</v>
      </c>
      <c r="D8" s="25">
        <f t="shared" si="0"/>
        <v>67.5</v>
      </c>
      <c r="F8" t="s">
        <v>12</v>
      </c>
      <c r="G8">
        <v>45</v>
      </c>
      <c r="H8" s="14">
        <v>1.5</v>
      </c>
      <c r="I8" s="25">
        <f t="shared" si="1"/>
        <v>67.5</v>
      </c>
      <c r="K8" s="18" t="s">
        <v>12</v>
      </c>
      <c r="L8">
        <v>45</v>
      </c>
      <c r="M8">
        <v>1.5</v>
      </c>
      <c r="N8" s="19">
        <v>67.5</v>
      </c>
    </row>
    <row r="9" spans="1:14" x14ac:dyDescent="0.3">
      <c r="A9" t="s">
        <v>13</v>
      </c>
      <c r="B9">
        <v>25</v>
      </c>
      <c r="C9" s="14">
        <v>2.5</v>
      </c>
      <c r="D9" s="25">
        <f t="shared" si="0"/>
        <v>62.5</v>
      </c>
      <c r="F9" t="s">
        <v>13</v>
      </c>
      <c r="G9">
        <v>25</v>
      </c>
      <c r="H9" s="14">
        <v>2.5</v>
      </c>
      <c r="I9" s="25">
        <f t="shared" si="1"/>
        <v>62.5</v>
      </c>
      <c r="K9" s="18" t="s">
        <v>13</v>
      </c>
      <c r="L9">
        <v>25</v>
      </c>
      <c r="M9">
        <v>2.5</v>
      </c>
      <c r="N9" s="19">
        <v>62.5</v>
      </c>
    </row>
    <row r="10" spans="1:14" x14ac:dyDescent="0.3">
      <c r="A10" t="s">
        <v>14</v>
      </c>
      <c r="B10">
        <v>56</v>
      </c>
      <c r="C10" s="14">
        <v>3</v>
      </c>
      <c r="D10" s="25">
        <f t="shared" si="0"/>
        <v>168</v>
      </c>
      <c r="F10" t="s">
        <v>14</v>
      </c>
      <c r="G10">
        <v>56</v>
      </c>
      <c r="H10" s="14">
        <v>3</v>
      </c>
      <c r="I10" s="25">
        <f t="shared" si="1"/>
        <v>168</v>
      </c>
      <c r="K10" s="18" t="s">
        <v>14</v>
      </c>
      <c r="L10">
        <v>56</v>
      </c>
      <c r="M10">
        <v>3</v>
      </c>
      <c r="N10" s="19">
        <v>168</v>
      </c>
    </row>
    <row r="11" spans="1:14" x14ac:dyDescent="0.3">
      <c r="A11" t="s">
        <v>15</v>
      </c>
      <c r="B11">
        <v>45</v>
      </c>
      <c r="C11" s="14">
        <v>4</v>
      </c>
      <c r="D11" s="25">
        <f t="shared" si="0"/>
        <v>180</v>
      </c>
      <c r="F11" t="s">
        <v>15</v>
      </c>
      <c r="G11">
        <v>45</v>
      </c>
      <c r="H11" s="14">
        <v>4</v>
      </c>
      <c r="I11" s="25">
        <f t="shared" si="1"/>
        <v>180</v>
      </c>
      <c r="K11" s="20" t="s">
        <v>15</v>
      </c>
      <c r="L11" s="21">
        <v>45</v>
      </c>
      <c r="M11" s="21">
        <v>4</v>
      </c>
      <c r="N11" s="22">
        <v>180</v>
      </c>
    </row>
    <row r="14" spans="1:14" x14ac:dyDescent="0.3">
      <c r="A14" s="23" t="s">
        <v>19</v>
      </c>
    </row>
    <row r="15" spans="1:14" x14ac:dyDescent="0.3">
      <c r="A15" s="24" t="s">
        <v>9</v>
      </c>
      <c r="B15" t="s">
        <v>10</v>
      </c>
      <c r="C15" t="s">
        <v>11</v>
      </c>
      <c r="D15" t="s">
        <v>12</v>
      </c>
      <c r="E15" t="s">
        <v>13</v>
      </c>
      <c r="F15" t="s">
        <v>14</v>
      </c>
      <c r="G15" t="s">
        <v>15</v>
      </c>
    </row>
    <row r="16" spans="1:14" x14ac:dyDescent="0.3">
      <c r="A16" s="24" t="s">
        <v>6</v>
      </c>
      <c r="B16">
        <v>15</v>
      </c>
      <c r="C16">
        <v>23</v>
      </c>
      <c r="D16">
        <v>45</v>
      </c>
      <c r="E16">
        <v>25</v>
      </c>
      <c r="F16">
        <v>56</v>
      </c>
      <c r="G16">
        <v>45</v>
      </c>
    </row>
    <row r="17" spans="1:7" x14ac:dyDescent="0.3">
      <c r="A17" s="24" t="s">
        <v>7</v>
      </c>
      <c r="B17" s="14">
        <v>2</v>
      </c>
      <c r="C17" s="14">
        <v>1.4</v>
      </c>
      <c r="D17" s="14">
        <v>1.5</v>
      </c>
      <c r="E17" s="14">
        <v>2.5</v>
      </c>
      <c r="F17" s="14">
        <v>3</v>
      </c>
      <c r="G17" s="14">
        <v>4</v>
      </c>
    </row>
    <row r="18" spans="1:7" x14ac:dyDescent="0.3">
      <c r="A18" s="24" t="s">
        <v>8</v>
      </c>
      <c r="B18" s="25">
        <f>SUM(B16*B17)</f>
        <v>30</v>
      </c>
      <c r="C18" s="25">
        <f>SUM(C16*C17)</f>
        <v>32.199999999999996</v>
      </c>
      <c r="D18" s="25">
        <f>SUM(D16*D17)</f>
        <v>67.5</v>
      </c>
      <c r="E18" s="25">
        <f>SUM(E16*E17)</f>
        <v>62.5</v>
      </c>
      <c r="F18" s="25">
        <f>SUM(F16*F17)</f>
        <v>168</v>
      </c>
      <c r="G18" s="25">
        <f>SUM(G16*G17)</f>
        <v>180</v>
      </c>
    </row>
    <row r="44" spans="4:6" x14ac:dyDescent="0.3">
      <c r="D44" s="2"/>
      <c r="E44" s="3"/>
    </row>
    <row r="45" spans="4:6" x14ac:dyDescent="0.3">
      <c r="D45" s="2"/>
      <c r="E45" s="3"/>
    </row>
    <row r="46" spans="4:6" x14ac:dyDescent="0.3">
      <c r="D46" s="2"/>
      <c r="E46" s="3"/>
    </row>
    <row r="47" spans="4:6" x14ac:dyDescent="0.3">
      <c r="D47" s="2"/>
      <c r="E47" s="3"/>
    </row>
    <row r="48" spans="4:6" x14ac:dyDescent="0.3">
      <c r="D48" s="2"/>
      <c r="E48" s="3"/>
      <c r="F48" s="3"/>
    </row>
    <row r="49" spans="4:6" x14ac:dyDescent="0.3">
      <c r="D49" s="2"/>
      <c r="E49" s="3"/>
      <c r="F49" s="3"/>
    </row>
    <row r="50" spans="4:6" x14ac:dyDescent="0.3">
      <c r="D50" s="2"/>
      <c r="E50" s="3"/>
      <c r="F50" s="3"/>
    </row>
    <row r="51" spans="4:6" x14ac:dyDescent="0.3">
      <c r="D51" s="2"/>
      <c r="E51" s="3"/>
      <c r="F51" s="3"/>
    </row>
    <row r="52" spans="4:6" x14ac:dyDescent="0.3">
      <c r="D52" s="2"/>
      <c r="E52" s="3"/>
      <c r="F52" s="3"/>
    </row>
    <row r="53" spans="4:6" x14ac:dyDescent="0.3">
      <c r="D53" s="2"/>
      <c r="E53" s="3"/>
      <c r="F53" s="3"/>
    </row>
  </sheetData>
  <sortState xmlns:xlrd2="http://schemas.microsoft.com/office/spreadsheetml/2017/richdata2" ref="A4:F43">
    <sortCondition ref="A4:A43" customList="Jan,Feb,Mar,Apr,May,Jun,Jul,Aug,Sep,Oct,Nov,Dec"/>
    <sortCondition descending="1" ref="D4:D43"/>
    <sortCondition ref="F4:F43"/>
  </sortState>
  <phoneticPr fontId="6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068A9-A06E-43CB-81D0-BDE348BFFDD2}">
  <dimension ref="B1:F60"/>
  <sheetViews>
    <sheetView zoomScale="130" zoomScaleNormal="130" workbookViewId="0">
      <selection activeCell="G9" sqref="G9"/>
    </sheetView>
  </sheetViews>
  <sheetFormatPr defaultRowHeight="14.4" outlineLevelRow="2" x14ac:dyDescent="0.3"/>
  <cols>
    <col min="1" max="1" width="15.5546875" bestFit="1" customWidth="1"/>
    <col min="2" max="2" width="15.109375" customWidth="1"/>
    <col min="3" max="3" width="15.21875" customWidth="1"/>
    <col min="4" max="4" width="17" customWidth="1"/>
    <col min="5" max="5" width="10.6640625" customWidth="1"/>
    <col min="6" max="6" width="15.6640625" customWidth="1"/>
    <col min="7" max="7" width="13.77734375" customWidth="1"/>
    <col min="8" max="8" width="13.44140625" customWidth="1"/>
    <col min="9" max="9" width="27.5546875" customWidth="1"/>
  </cols>
  <sheetData>
    <row r="1" spans="2:4" s="27" customFormat="1" ht="16.2" customHeight="1" x14ac:dyDescent="0.35">
      <c r="B1" s="27" t="s">
        <v>30</v>
      </c>
    </row>
    <row r="3" spans="2:4" x14ac:dyDescent="0.3">
      <c r="B3" s="26" t="s">
        <v>23</v>
      </c>
      <c r="C3" s="26" t="s">
        <v>0</v>
      </c>
      <c r="D3" s="26" t="s">
        <v>1</v>
      </c>
    </row>
    <row r="4" spans="2:4" outlineLevel="2" x14ac:dyDescent="0.3">
      <c r="B4" t="s">
        <v>22</v>
      </c>
      <c r="C4" s="14">
        <v>9598</v>
      </c>
      <c r="D4" s="14">
        <v>7598</v>
      </c>
    </row>
    <row r="5" spans="2:4" outlineLevel="2" x14ac:dyDescent="0.3">
      <c r="B5" t="s">
        <v>22</v>
      </c>
      <c r="C5" s="14">
        <v>11496</v>
      </c>
      <c r="D5" s="14">
        <v>9496</v>
      </c>
    </row>
    <row r="6" spans="2:4" outlineLevel="2" x14ac:dyDescent="0.3">
      <c r="B6" t="s">
        <v>22</v>
      </c>
      <c r="C6" s="14">
        <v>8314</v>
      </c>
      <c r="D6" s="14">
        <v>6314</v>
      </c>
    </row>
    <row r="7" spans="2:4" outlineLevel="2" x14ac:dyDescent="0.3">
      <c r="B7" t="s">
        <v>22</v>
      </c>
      <c r="C7" s="14">
        <v>5929</v>
      </c>
      <c r="D7" s="14">
        <v>3929</v>
      </c>
    </row>
    <row r="8" spans="2:4" outlineLevel="2" x14ac:dyDescent="0.3">
      <c r="B8" t="s">
        <v>22</v>
      </c>
      <c r="C8" s="14">
        <v>9273</v>
      </c>
      <c r="D8" s="14">
        <v>7273</v>
      </c>
    </row>
    <row r="9" spans="2:4" outlineLevel="2" x14ac:dyDescent="0.3">
      <c r="B9" t="s">
        <v>22</v>
      </c>
      <c r="C9" s="14">
        <v>5114</v>
      </c>
      <c r="D9" s="14">
        <v>3114</v>
      </c>
    </row>
    <row r="10" spans="2:4" outlineLevel="2" x14ac:dyDescent="0.3">
      <c r="B10" t="s">
        <v>22</v>
      </c>
      <c r="C10" s="14">
        <v>14472</v>
      </c>
      <c r="D10" s="14">
        <v>12472</v>
      </c>
    </row>
    <row r="11" spans="2:4" outlineLevel="1" x14ac:dyDescent="0.3">
      <c r="B11" s="35" t="s">
        <v>43</v>
      </c>
      <c r="C11" s="14">
        <f>SUBTOTAL(9,C4:C10)</f>
        <v>64196</v>
      </c>
      <c r="D11" s="14">
        <f>SUBTOTAL(9,D4:D10)</f>
        <v>50196</v>
      </c>
    </row>
    <row r="12" spans="2:4" outlineLevel="2" x14ac:dyDescent="0.3">
      <c r="B12" t="s">
        <v>24</v>
      </c>
      <c r="C12" s="14">
        <v>12753</v>
      </c>
      <c r="D12" s="14">
        <v>10753</v>
      </c>
    </row>
    <row r="13" spans="2:4" outlineLevel="2" x14ac:dyDescent="0.3">
      <c r="B13" t="s">
        <v>24</v>
      </c>
      <c r="C13" s="14">
        <v>8190</v>
      </c>
      <c r="D13" s="14">
        <v>6190</v>
      </c>
    </row>
    <row r="14" spans="2:4" outlineLevel="2" x14ac:dyDescent="0.3">
      <c r="B14" t="s">
        <v>24</v>
      </c>
      <c r="C14" s="14">
        <v>7751</v>
      </c>
      <c r="D14" s="14">
        <v>5751</v>
      </c>
    </row>
    <row r="15" spans="2:4" outlineLevel="2" x14ac:dyDescent="0.3">
      <c r="B15" t="s">
        <v>24</v>
      </c>
      <c r="C15" s="14">
        <v>14855</v>
      </c>
      <c r="D15" s="14">
        <v>12855</v>
      </c>
    </row>
    <row r="16" spans="2:4" outlineLevel="2" x14ac:dyDescent="0.3">
      <c r="B16" t="s">
        <v>24</v>
      </c>
      <c r="C16" s="14">
        <v>9008</v>
      </c>
      <c r="D16" s="14">
        <v>7008</v>
      </c>
    </row>
    <row r="17" spans="2:4" outlineLevel="2" x14ac:dyDescent="0.3">
      <c r="B17" t="s">
        <v>24</v>
      </c>
      <c r="C17" s="14">
        <v>5284</v>
      </c>
      <c r="D17" s="14">
        <v>3284</v>
      </c>
    </row>
    <row r="18" spans="2:4" outlineLevel="1" x14ac:dyDescent="0.3">
      <c r="B18" s="34" t="s">
        <v>44</v>
      </c>
      <c r="C18" s="14">
        <f>SUBTOTAL(9,C12:C17)</f>
        <v>57841</v>
      </c>
      <c r="D18" s="14">
        <f>SUBTOTAL(9,D12:D17)</f>
        <v>45841</v>
      </c>
    </row>
    <row r="19" spans="2:4" outlineLevel="2" x14ac:dyDescent="0.3">
      <c r="B19" t="s">
        <v>25</v>
      </c>
      <c r="C19" s="14">
        <v>8179</v>
      </c>
      <c r="D19" s="14">
        <v>6179</v>
      </c>
    </row>
    <row r="20" spans="2:4" outlineLevel="2" x14ac:dyDescent="0.3">
      <c r="B20" t="s">
        <v>25</v>
      </c>
      <c r="C20" s="14">
        <v>10077</v>
      </c>
      <c r="D20" s="14">
        <v>8077</v>
      </c>
    </row>
    <row r="21" spans="2:4" outlineLevel="2" x14ac:dyDescent="0.3">
      <c r="B21" t="s">
        <v>25</v>
      </c>
      <c r="C21" s="14">
        <v>5720</v>
      </c>
      <c r="D21" s="14">
        <v>3720</v>
      </c>
    </row>
    <row r="22" spans="2:4" outlineLevel="2" x14ac:dyDescent="0.3">
      <c r="B22" t="s">
        <v>25</v>
      </c>
      <c r="C22" s="14">
        <v>8976</v>
      </c>
      <c r="D22" s="14">
        <v>6976</v>
      </c>
    </row>
    <row r="23" spans="2:4" outlineLevel="2" x14ac:dyDescent="0.3">
      <c r="B23" t="s">
        <v>25</v>
      </c>
      <c r="C23" s="14">
        <v>12459</v>
      </c>
      <c r="D23" s="14">
        <v>10459</v>
      </c>
    </row>
    <row r="24" spans="2:4" outlineLevel="2" x14ac:dyDescent="0.3">
      <c r="B24" t="s">
        <v>25</v>
      </c>
      <c r="C24" s="14">
        <v>14213</v>
      </c>
      <c r="D24" s="14">
        <v>12213</v>
      </c>
    </row>
    <row r="25" spans="2:4" outlineLevel="1" x14ac:dyDescent="0.3">
      <c r="B25" s="34" t="s">
        <v>45</v>
      </c>
      <c r="C25" s="14">
        <f>SUBTOTAL(9,C19:C24)</f>
        <v>59624</v>
      </c>
      <c r="D25" s="14">
        <f>SUBTOTAL(9,D19:D24)</f>
        <v>47624</v>
      </c>
    </row>
    <row r="26" spans="2:4" outlineLevel="2" x14ac:dyDescent="0.3">
      <c r="B26" t="s">
        <v>26</v>
      </c>
      <c r="C26" s="14">
        <v>7789</v>
      </c>
      <c r="D26" s="14">
        <v>5789</v>
      </c>
    </row>
    <row r="27" spans="2:4" outlineLevel="2" x14ac:dyDescent="0.3">
      <c r="B27" t="s">
        <v>26</v>
      </c>
      <c r="C27" s="14">
        <v>10230</v>
      </c>
      <c r="D27" s="14">
        <v>8230</v>
      </c>
    </row>
    <row r="28" spans="2:4" outlineLevel="2" x14ac:dyDescent="0.3">
      <c r="B28" t="s">
        <v>26</v>
      </c>
      <c r="C28" s="14">
        <v>10475</v>
      </c>
      <c r="D28" s="14">
        <v>8475</v>
      </c>
    </row>
    <row r="29" spans="2:4" outlineLevel="2" x14ac:dyDescent="0.3">
      <c r="B29" t="s">
        <v>26</v>
      </c>
      <c r="C29" s="14">
        <v>12864</v>
      </c>
      <c r="D29" s="14">
        <v>10864</v>
      </c>
    </row>
    <row r="30" spans="2:4" outlineLevel="2" x14ac:dyDescent="0.3">
      <c r="B30" t="s">
        <v>26</v>
      </c>
      <c r="C30" s="14">
        <v>8429</v>
      </c>
      <c r="D30" s="14">
        <v>6429</v>
      </c>
    </row>
    <row r="31" spans="2:4" outlineLevel="1" x14ac:dyDescent="0.3">
      <c r="B31" s="34" t="s">
        <v>46</v>
      </c>
      <c r="C31" s="14">
        <f>SUBTOTAL(9,C26:C30)</f>
        <v>49787</v>
      </c>
      <c r="D31" s="14">
        <f>SUBTOTAL(9,D26:D30)</f>
        <v>39787</v>
      </c>
    </row>
    <row r="32" spans="2:4" outlineLevel="2" x14ac:dyDescent="0.3">
      <c r="B32" t="s">
        <v>27</v>
      </c>
      <c r="C32" s="14">
        <v>8629</v>
      </c>
      <c r="D32" s="14">
        <v>6629</v>
      </c>
    </row>
    <row r="33" spans="2:4" outlineLevel="2" x14ac:dyDescent="0.3">
      <c r="B33" t="s">
        <v>27</v>
      </c>
      <c r="C33" s="14">
        <v>7463</v>
      </c>
      <c r="D33" s="14">
        <v>5463</v>
      </c>
    </row>
    <row r="34" spans="2:4" outlineLevel="2" x14ac:dyDescent="0.3">
      <c r="B34" t="s">
        <v>27</v>
      </c>
      <c r="C34" s="14">
        <v>5964</v>
      </c>
      <c r="D34" s="14">
        <v>3964</v>
      </c>
    </row>
    <row r="35" spans="2:4" outlineLevel="2" x14ac:dyDescent="0.3">
      <c r="B35" t="s">
        <v>27</v>
      </c>
      <c r="C35" s="14">
        <v>7929</v>
      </c>
      <c r="D35" s="14">
        <v>5929</v>
      </c>
    </row>
    <row r="36" spans="2:4" outlineLevel="2" x14ac:dyDescent="0.3">
      <c r="B36" t="s">
        <v>27</v>
      </c>
      <c r="C36" s="14">
        <v>13712</v>
      </c>
      <c r="D36" s="14">
        <v>11712</v>
      </c>
    </row>
    <row r="37" spans="2:4" outlineLevel="2" x14ac:dyDescent="0.3">
      <c r="B37" t="s">
        <v>27</v>
      </c>
      <c r="C37" s="14">
        <v>11382</v>
      </c>
      <c r="D37" s="14">
        <v>9382</v>
      </c>
    </row>
    <row r="38" spans="2:4" outlineLevel="2" x14ac:dyDescent="0.3">
      <c r="B38" t="s">
        <v>27</v>
      </c>
      <c r="C38" s="14">
        <v>8867</v>
      </c>
      <c r="D38" s="14">
        <v>6867</v>
      </c>
    </row>
    <row r="39" spans="2:4" outlineLevel="1" x14ac:dyDescent="0.3">
      <c r="B39" s="34" t="s">
        <v>47</v>
      </c>
      <c r="C39" s="14">
        <f>SUBTOTAL(9,C32:C38)</f>
        <v>63946</v>
      </c>
      <c r="D39" s="14">
        <f>SUBTOTAL(9,D32:D38)</f>
        <v>49946</v>
      </c>
    </row>
    <row r="40" spans="2:4" outlineLevel="2" x14ac:dyDescent="0.3">
      <c r="B40" t="s">
        <v>28</v>
      </c>
      <c r="C40" s="14">
        <v>14258</v>
      </c>
      <c r="D40" s="14">
        <v>12258</v>
      </c>
    </row>
    <row r="41" spans="2:4" outlineLevel="2" x14ac:dyDescent="0.3">
      <c r="B41" t="s">
        <v>28</v>
      </c>
      <c r="C41" s="14">
        <v>13024</v>
      </c>
      <c r="D41" s="14">
        <v>11024</v>
      </c>
    </row>
    <row r="42" spans="2:4" outlineLevel="2" x14ac:dyDescent="0.3">
      <c r="B42" t="s">
        <v>28</v>
      </c>
      <c r="C42" s="14">
        <v>14600</v>
      </c>
      <c r="D42" s="14">
        <v>12600</v>
      </c>
    </row>
    <row r="43" spans="2:4" outlineLevel="2" x14ac:dyDescent="0.3">
      <c r="B43" t="s">
        <v>28</v>
      </c>
      <c r="C43" s="14">
        <v>9614</v>
      </c>
      <c r="D43" s="14">
        <v>7614</v>
      </c>
    </row>
    <row r="44" spans="2:4" outlineLevel="2" x14ac:dyDescent="0.3">
      <c r="B44" t="s">
        <v>28</v>
      </c>
      <c r="C44" s="14">
        <v>14944</v>
      </c>
      <c r="D44" s="14">
        <v>12944</v>
      </c>
    </row>
    <row r="45" spans="2:4" outlineLevel="2" x14ac:dyDescent="0.3">
      <c r="B45" t="s">
        <v>28</v>
      </c>
      <c r="C45" s="14">
        <v>11093</v>
      </c>
      <c r="D45" s="14">
        <v>9093</v>
      </c>
    </row>
    <row r="46" spans="2:4" outlineLevel="2" x14ac:dyDescent="0.3">
      <c r="B46" t="s">
        <v>28</v>
      </c>
      <c r="C46" s="14">
        <v>5207</v>
      </c>
      <c r="D46" s="14">
        <v>3207</v>
      </c>
    </row>
    <row r="47" spans="2:4" outlineLevel="2" x14ac:dyDescent="0.3">
      <c r="B47" t="s">
        <v>28</v>
      </c>
      <c r="C47" s="14">
        <v>11404</v>
      </c>
      <c r="D47" s="14">
        <v>9404</v>
      </c>
    </row>
    <row r="48" spans="2:4" outlineLevel="1" x14ac:dyDescent="0.3">
      <c r="B48" s="34" t="s">
        <v>48</v>
      </c>
      <c r="C48" s="14">
        <f>SUBTOTAL(9,C40:C47)</f>
        <v>94144</v>
      </c>
      <c r="D48" s="14">
        <f>SUBTOTAL(9,D40:D47)</f>
        <v>78144</v>
      </c>
    </row>
    <row r="49" spans="2:6" x14ac:dyDescent="0.3">
      <c r="B49" s="34" t="s">
        <v>49</v>
      </c>
      <c r="C49" s="14">
        <f>SUBTOTAL(9,C4:C47)</f>
        <v>389538</v>
      </c>
      <c r="D49" s="14">
        <f>SUBTOTAL(9,D4:D47)</f>
        <v>311538</v>
      </c>
    </row>
    <row r="51" spans="2:6" x14ac:dyDescent="0.3">
      <c r="E51" s="3"/>
    </row>
    <row r="52" spans="2:6" x14ac:dyDescent="0.3">
      <c r="E52" s="3"/>
    </row>
    <row r="53" spans="2:6" x14ac:dyDescent="0.3">
      <c r="E53" s="3"/>
    </row>
    <row r="54" spans="2:6" x14ac:dyDescent="0.3">
      <c r="E54" s="3"/>
    </row>
    <row r="55" spans="2:6" x14ac:dyDescent="0.3">
      <c r="E55" s="3"/>
      <c r="F55" s="3"/>
    </row>
    <row r="56" spans="2:6" x14ac:dyDescent="0.3">
      <c r="E56" s="3"/>
      <c r="F56" s="3"/>
    </row>
    <row r="57" spans="2:6" x14ac:dyDescent="0.3">
      <c r="E57" s="3"/>
      <c r="F57" s="3"/>
    </row>
    <row r="58" spans="2:6" x14ac:dyDescent="0.3">
      <c r="E58" s="3"/>
      <c r="F58" s="3"/>
    </row>
    <row r="59" spans="2:6" x14ac:dyDescent="0.3">
      <c r="E59" s="3"/>
      <c r="F59" s="3"/>
    </row>
    <row r="60" spans="2:6" x14ac:dyDescent="0.3">
      <c r="E60" s="3"/>
      <c r="F60" s="3"/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32A3F-D885-4C0F-9B79-073F7C81B629}">
  <dimension ref="A1:B9"/>
  <sheetViews>
    <sheetView tabSelected="1" zoomScale="130" zoomScaleNormal="130" workbookViewId="0"/>
  </sheetViews>
  <sheetFormatPr defaultRowHeight="14.4" x14ac:dyDescent="0.3"/>
  <cols>
    <col min="1" max="1" width="13.5546875" customWidth="1"/>
    <col min="2" max="2" width="12.44140625" customWidth="1"/>
  </cols>
  <sheetData>
    <row r="1" spans="1:2" ht="18" x14ac:dyDescent="0.35">
      <c r="A1" s="27" t="s">
        <v>31</v>
      </c>
    </row>
    <row r="3" spans="1:2" x14ac:dyDescent="0.3">
      <c r="A3" s="26" t="s">
        <v>23</v>
      </c>
      <c r="B3" s="26" t="s">
        <v>29</v>
      </c>
    </row>
    <row r="4" spans="1:2" x14ac:dyDescent="0.3">
      <c r="A4" t="s">
        <v>22</v>
      </c>
      <c r="B4" s="14">
        <f>Linking_Data!D11</f>
        <v>50196</v>
      </c>
    </row>
    <row r="5" spans="1:2" x14ac:dyDescent="0.3">
      <c r="A5" t="s">
        <v>24</v>
      </c>
      <c r="B5" s="14">
        <f>Linking_Data!D18</f>
        <v>45841</v>
      </c>
    </row>
    <row r="6" spans="1:2" x14ac:dyDescent="0.3">
      <c r="A6" t="s">
        <v>25</v>
      </c>
      <c r="B6" s="14">
        <f>Linking_Data!D25</f>
        <v>47624</v>
      </c>
    </row>
    <row r="7" spans="1:2" x14ac:dyDescent="0.3">
      <c r="A7" t="s">
        <v>26</v>
      </c>
      <c r="B7" s="14">
        <f>Linking_Data!D31</f>
        <v>39787</v>
      </c>
    </row>
    <row r="8" spans="1:2" x14ac:dyDescent="0.3">
      <c r="A8" t="s">
        <v>27</v>
      </c>
      <c r="B8" s="14">
        <f>Linking_Data!D39</f>
        <v>49946</v>
      </c>
    </row>
    <row r="9" spans="1:2" x14ac:dyDescent="0.3">
      <c r="A9" t="s">
        <v>28</v>
      </c>
      <c r="B9" s="14">
        <f>Linking_Data!D48</f>
        <v>78144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1AB90-A537-4474-98AB-D25AB44B4EEE}">
  <dimension ref="A1:E7"/>
  <sheetViews>
    <sheetView topLeftCell="B1" zoomScale="120" zoomScaleNormal="120" workbookViewId="0"/>
  </sheetViews>
  <sheetFormatPr defaultRowHeight="14.4" x14ac:dyDescent="0.3"/>
  <cols>
    <col min="2" max="5" width="10" bestFit="1" customWidth="1"/>
  </cols>
  <sheetData>
    <row r="1" spans="1:5" s="7" customFormat="1" x14ac:dyDescent="0.3">
      <c r="A1" s="7" t="s">
        <v>37</v>
      </c>
    </row>
    <row r="3" spans="1:5" x14ac:dyDescent="0.3">
      <c r="A3" s="28"/>
      <c r="B3" s="28" t="s">
        <v>33</v>
      </c>
      <c r="C3" s="28" t="s">
        <v>34</v>
      </c>
      <c r="D3" s="28" t="s">
        <v>35</v>
      </c>
      <c r="E3" s="28" t="s">
        <v>36</v>
      </c>
    </row>
    <row r="4" spans="1:5" x14ac:dyDescent="0.3">
      <c r="A4" s="28" t="s">
        <v>2</v>
      </c>
      <c r="B4" s="29">
        <v>18744</v>
      </c>
      <c r="C4" s="29">
        <v>7730</v>
      </c>
      <c r="D4" s="29">
        <v>7146</v>
      </c>
      <c r="E4" s="29">
        <v>12540</v>
      </c>
    </row>
    <row r="5" spans="1:5" x14ac:dyDescent="0.3">
      <c r="A5" s="28" t="s">
        <v>3</v>
      </c>
      <c r="B5" s="29">
        <v>12448</v>
      </c>
      <c r="C5" s="29">
        <v>7485</v>
      </c>
      <c r="D5" s="29">
        <v>17200</v>
      </c>
      <c r="E5" s="29">
        <v>19544</v>
      </c>
    </row>
    <row r="6" spans="1:5" x14ac:dyDescent="0.3">
      <c r="A6" s="28" t="s">
        <v>4</v>
      </c>
      <c r="B6" s="29">
        <v>18862</v>
      </c>
      <c r="C6" s="29">
        <v>11727</v>
      </c>
      <c r="D6" s="29">
        <v>19337</v>
      </c>
      <c r="E6" s="29">
        <v>8721</v>
      </c>
    </row>
    <row r="7" spans="1:5" x14ac:dyDescent="0.3">
      <c r="A7" s="28" t="s">
        <v>5</v>
      </c>
      <c r="B7" s="29">
        <v>14402</v>
      </c>
      <c r="C7" s="29">
        <v>12514</v>
      </c>
      <c r="D7" s="29">
        <v>16523</v>
      </c>
      <c r="E7" s="29">
        <v>11560</v>
      </c>
    </row>
  </sheetData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8EA70-2589-43A7-8414-74DC391FCD60}">
  <dimension ref="A1:E7"/>
  <sheetViews>
    <sheetView zoomScale="120" zoomScaleNormal="120" workbookViewId="0">
      <selection activeCell="G22" sqref="G22"/>
    </sheetView>
  </sheetViews>
  <sheetFormatPr defaultRowHeight="14.4" x14ac:dyDescent="0.3"/>
  <cols>
    <col min="2" max="5" width="10" bestFit="1" customWidth="1"/>
  </cols>
  <sheetData>
    <row r="1" spans="1:5" s="7" customFormat="1" x14ac:dyDescent="0.3">
      <c r="A1" s="7" t="s">
        <v>41</v>
      </c>
    </row>
    <row r="3" spans="1:5" x14ac:dyDescent="0.3">
      <c r="A3" s="30"/>
      <c r="B3" s="30" t="s">
        <v>33</v>
      </c>
      <c r="C3" s="30" t="s">
        <v>34</v>
      </c>
      <c r="D3" s="30" t="s">
        <v>35</v>
      </c>
      <c r="E3" s="30" t="s">
        <v>36</v>
      </c>
    </row>
    <row r="4" spans="1:5" x14ac:dyDescent="0.3">
      <c r="A4" s="30" t="s">
        <v>2</v>
      </c>
      <c r="B4" s="29">
        <v>9966</v>
      </c>
      <c r="C4" s="29">
        <v>4705</v>
      </c>
      <c r="D4" s="29">
        <v>9441</v>
      </c>
      <c r="E4" s="29">
        <v>5923</v>
      </c>
    </row>
    <row r="5" spans="1:5" x14ac:dyDescent="0.3">
      <c r="A5" s="30" t="s">
        <v>3</v>
      </c>
      <c r="B5" s="29">
        <v>8918</v>
      </c>
      <c r="C5" s="29">
        <v>7901</v>
      </c>
      <c r="D5" s="29">
        <v>3968</v>
      </c>
      <c r="E5" s="29">
        <v>3578</v>
      </c>
    </row>
    <row r="6" spans="1:5" x14ac:dyDescent="0.3">
      <c r="A6" s="30" t="s">
        <v>4</v>
      </c>
      <c r="B6" s="29">
        <v>7028</v>
      </c>
      <c r="C6" s="29">
        <v>7367</v>
      </c>
      <c r="D6" s="29">
        <v>4282</v>
      </c>
      <c r="E6" s="29">
        <v>5162</v>
      </c>
    </row>
    <row r="7" spans="1:5" x14ac:dyDescent="0.3">
      <c r="A7" s="30" t="s">
        <v>5</v>
      </c>
      <c r="B7" s="29">
        <v>5733</v>
      </c>
      <c r="C7" s="29">
        <v>5617</v>
      </c>
      <c r="D7" s="29">
        <v>2064</v>
      </c>
      <c r="E7" s="29">
        <v>7971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596A7-3747-476F-9731-017DFC57BF97}">
  <dimension ref="A1:E7"/>
  <sheetViews>
    <sheetView zoomScale="120" zoomScaleNormal="120" workbookViewId="0"/>
  </sheetViews>
  <sheetFormatPr defaultRowHeight="14.4" x14ac:dyDescent="0.3"/>
  <cols>
    <col min="2" max="5" width="10" bestFit="1" customWidth="1"/>
  </cols>
  <sheetData>
    <row r="1" spans="1:5" s="7" customFormat="1" x14ac:dyDescent="0.3">
      <c r="A1" s="7" t="s">
        <v>40</v>
      </c>
    </row>
    <row r="3" spans="1:5" x14ac:dyDescent="0.3">
      <c r="A3" s="31"/>
      <c r="B3" s="31" t="s">
        <v>33</v>
      </c>
      <c r="C3" s="31" t="s">
        <v>34</v>
      </c>
      <c r="D3" s="31" t="s">
        <v>35</v>
      </c>
      <c r="E3" s="31" t="s">
        <v>36</v>
      </c>
    </row>
    <row r="4" spans="1:5" x14ac:dyDescent="0.3">
      <c r="A4" s="31" t="s">
        <v>2</v>
      </c>
      <c r="B4" s="29">
        <v>8748</v>
      </c>
      <c r="C4" s="29">
        <v>13423</v>
      </c>
      <c r="D4" s="29">
        <v>13083</v>
      </c>
      <c r="E4" s="29">
        <v>6221</v>
      </c>
    </row>
    <row r="5" spans="1:5" x14ac:dyDescent="0.3">
      <c r="A5" s="31" t="s">
        <v>3</v>
      </c>
      <c r="B5" s="29">
        <v>7125</v>
      </c>
      <c r="C5" s="29">
        <v>8779</v>
      </c>
      <c r="D5" s="29">
        <v>10439</v>
      </c>
      <c r="E5" s="29">
        <v>9747</v>
      </c>
    </row>
    <row r="6" spans="1:5" x14ac:dyDescent="0.3">
      <c r="A6" s="31" t="s">
        <v>4</v>
      </c>
      <c r="B6" s="29">
        <v>9312</v>
      </c>
      <c r="C6" s="29">
        <v>12178</v>
      </c>
      <c r="D6" s="29">
        <v>7359</v>
      </c>
      <c r="E6" s="29">
        <v>11162</v>
      </c>
    </row>
    <row r="7" spans="1:5" x14ac:dyDescent="0.3">
      <c r="A7" s="31" t="s">
        <v>5</v>
      </c>
      <c r="B7" s="29">
        <v>8269</v>
      </c>
      <c r="C7" s="29">
        <v>11024</v>
      </c>
      <c r="D7" s="29">
        <v>12200</v>
      </c>
      <c r="E7" s="29">
        <v>9973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89D5B-91D2-435B-AC2B-DB30A9D23B8E}">
  <dimension ref="A1:E7"/>
  <sheetViews>
    <sheetView zoomScale="120" zoomScaleNormal="120" workbookViewId="0"/>
  </sheetViews>
  <sheetFormatPr defaultRowHeight="14.4" x14ac:dyDescent="0.3"/>
  <cols>
    <col min="2" max="5" width="10" bestFit="1" customWidth="1"/>
  </cols>
  <sheetData>
    <row r="1" spans="1:5" s="7" customFormat="1" x14ac:dyDescent="0.3">
      <c r="A1" s="7" t="s">
        <v>39</v>
      </c>
    </row>
    <row r="3" spans="1:5" x14ac:dyDescent="0.3">
      <c r="A3" s="32"/>
      <c r="B3" s="32" t="s">
        <v>33</v>
      </c>
      <c r="C3" s="32" t="s">
        <v>34</v>
      </c>
      <c r="D3" s="32" t="s">
        <v>35</v>
      </c>
      <c r="E3" s="32" t="s">
        <v>36</v>
      </c>
    </row>
    <row r="4" spans="1:5" x14ac:dyDescent="0.3">
      <c r="A4" s="32" t="s">
        <v>2</v>
      </c>
      <c r="B4" s="29">
        <v>10821</v>
      </c>
      <c r="C4" s="29">
        <v>24901</v>
      </c>
      <c r="D4" s="29">
        <v>17393</v>
      </c>
      <c r="E4" s="29">
        <v>21209</v>
      </c>
    </row>
    <row r="5" spans="1:5" x14ac:dyDescent="0.3">
      <c r="A5" s="32" t="s">
        <v>3</v>
      </c>
      <c r="B5" s="29">
        <v>11682</v>
      </c>
      <c r="C5" s="29">
        <v>11838</v>
      </c>
      <c r="D5" s="29">
        <v>12612</v>
      </c>
      <c r="E5" s="29">
        <v>16384</v>
      </c>
    </row>
    <row r="6" spans="1:5" x14ac:dyDescent="0.3">
      <c r="A6" s="32" t="s">
        <v>4</v>
      </c>
      <c r="B6" s="29">
        <v>11435</v>
      </c>
      <c r="C6" s="29">
        <v>14716</v>
      </c>
      <c r="D6" s="29">
        <v>18020</v>
      </c>
      <c r="E6" s="29">
        <v>10131</v>
      </c>
    </row>
    <row r="7" spans="1:5" x14ac:dyDescent="0.3">
      <c r="A7" s="32" t="s">
        <v>5</v>
      </c>
      <c r="B7" s="29">
        <v>23430</v>
      </c>
      <c r="C7" s="29">
        <v>16119</v>
      </c>
      <c r="D7" s="29">
        <v>24000</v>
      </c>
      <c r="E7" s="29">
        <v>22991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8C466-F36F-4CA7-8A6A-272B481EEBA8}">
  <dimension ref="A1:E7"/>
  <sheetViews>
    <sheetView zoomScale="120" zoomScaleNormal="120" workbookViewId="0">
      <selection activeCell="F14" sqref="F14"/>
    </sheetView>
  </sheetViews>
  <sheetFormatPr defaultRowHeight="14.4" x14ac:dyDescent="0.3"/>
  <cols>
    <col min="2" max="2" width="11" customWidth="1"/>
    <col min="3" max="5" width="10" bestFit="1" customWidth="1"/>
  </cols>
  <sheetData>
    <row r="1" spans="1:5" s="7" customFormat="1" x14ac:dyDescent="0.3">
      <c r="A1" s="7" t="s">
        <v>38</v>
      </c>
    </row>
    <row r="3" spans="1:5" x14ac:dyDescent="0.3">
      <c r="A3" s="33"/>
      <c r="B3" s="33" t="s">
        <v>33</v>
      </c>
      <c r="C3" s="33" t="s">
        <v>34</v>
      </c>
      <c r="D3" s="33" t="s">
        <v>35</v>
      </c>
      <c r="E3" s="33" t="s">
        <v>36</v>
      </c>
    </row>
    <row r="4" spans="1:5" x14ac:dyDescent="0.3">
      <c r="A4" s="33" t="s">
        <v>2</v>
      </c>
      <c r="B4" s="29">
        <f>SUM(TechWorld_Sales:Joplins_Sales!B4)</f>
        <v>48279</v>
      </c>
      <c r="C4" s="29">
        <f>SUM(TechWorld_Sales:Joplins_Sales!C4)</f>
        <v>50759</v>
      </c>
      <c r="D4" s="29">
        <f>SUM(TechWorld_Sales:Joplins_Sales!D4)</f>
        <v>47063</v>
      </c>
      <c r="E4" s="29">
        <f>SUM(TechWorld_Sales:Joplins_Sales!E4)</f>
        <v>45893</v>
      </c>
    </row>
    <row r="5" spans="1:5" x14ac:dyDescent="0.3">
      <c r="A5" s="33" t="s">
        <v>3</v>
      </c>
      <c r="B5" s="29">
        <f>SUM(TechWorld_Sales:Joplins_Sales!B5)</f>
        <v>40173</v>
      </c>
      <c r="C5" s="29">
        <f>SUM(TechWorld_Sales:Joplins_Sales!C5)</f>
        <v>36003</v>
      </c>
      <c r="D5" s="29">
        <f>SUM(TechWorld_Sales:Joplins_Sales!D5)</f>
        <v>44219</v>
      </c>
      <c r="E5" s="29">
        <f>SUM(TechWorld_Sales:Joplins_Sales!E5)</f>
        <v>49253</v>
      </c>
    </row>
    <row r="6" spans="1:5" x14ac:dyDescent="0.3">
      <c r="A6" s="33" t="s">
        <v>4</v>
      </c>
      <c r="B6" s="29">
        <f>SUM(TechWorld_Sales:Joplins_Sales!B6)</f>
        <v>46637</v>
      </c>
      <c r="C6" s="29">
        <f>SUM(TechWorld_Sales:Joplins_Sales!C6)</f>
        <v>45988</v>
      </c>
      <c r="D6" s="29">
        <f>SUM(TechWorld_Sales:Joplins_Sales!D6)</f>
        <v>48998</v>
      </c>
      <c r="E6" s="29">
        <f>SUM(TechWorld_Sales:Joplins_Sales!E6)</f>
        <v>35176</v>
      </c>
    </row>
    <row r="7" spans="1:5" x14ac:dyDescent="0.3">
      <c r="A7" s="33" t="s">
        <v>5</v>
      </c>
      <c r="B7" s="29">
        <f>SUM(TechWorld_Sales:Joplins_Sales!B7)</f>
        <v>51834</v>
      </c>
      <c r="C7" s="29">
        <f>SUM(TechWorld_Sales:Joplins_Sales!C7)</f>
        <v>45274</v>
      </c>
      <c r="D7" s="29">
        <f>SUM(TechWorld_Sales:Joplins_Sales!D7)</f>
        <v>54787</v>
      </c>
      <c r="E7" s="29">
        <f>SUM(TechWorld_Sales:Joplins_Sales!E7)</f>
        <v>52495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EXERCISE 08</vt:lpstr>
      <vt:lpstr>Fruit_Sales_Data</vt:lpstr>
      <vt:lpstr>Linking_Data</vt:lpstr>
      <vt:lpstr>Summary</vt:lpstr>
      <vt:lpstr>TechWorld_Sales</vt:lpstr>
      <vt:lpstr>MicroWorld_Sales</vt:lpstr>
      <vt:lpstr>Tech4U_Sales</vt:lpstr>
      <vt:lpstr>Joplins_Sales</vt:lpstr>
      <vt:lpstr>Total_Sales</vt:lpstr>
      <vt:lpstr>Fruit_Sales_Data!Customer_Name</vt:lpstr>
      <vt:lpstr>Linking_Data!Customer_Name</vt:lpstr>
      <vt:lpstr>Fruit_Sales_Data!Price_Per_Item</vt:lpstr>
      <vt:lpstr>Fruit_Sales_Data!Quantity</vt:lpstr>
      <vt:lpstr>Linking_Data!Quantity</vt:lpstr>
      <vt:lpstr>Fruit_Sales_Data!Sales_Tax</vt:lpstr>
      <vt:lpstr>Linking_Data!Sales_Tax</vt:lpstr>
      <vt:lpstr>Fruit_Sales_Data!Total</vt:lpstr>
      <vt:lpstr>Linking_Data!Total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Zibriyal Shaikh</cp:lastModifiedBy>
  <dcterms:created xsi:type="dcterms:W3CDTF">2021-01-16T16:13:56Z</dcterms:created>
  <dcterms:modified xsi:type="dcterms:W3CDTF">2026-04-03T10:27:35Z</dcterms:modified>
</cp:coreProperties>
</file>